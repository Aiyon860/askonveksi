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700" activeTab="5"/>
  </bookViews>
  <sheets>
    <sheet name="PROJECT" sheetId="1" r:id="rId1"/>
    <sheet name="PENGELUARAN" sheetId="2" r:id="rId2"/>
    <sheet name="SALDO AKHIR" sheetId="3" r:id="rId3"/>
    <sheet name="DP" sheetId="4" r:id="rId4"/>
    <sheet name="PNGELUARAN MURNI" sheetId="5" r:id="rId5"/>
    <sheet name="CATAT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<sst xmlns="http://schemas.openxmlformats.org/spreadsheetml/2006/main" count="683" uniqueCount="389">
  <si>
    <t>LAPORAN PROJECT ASKONVEKSI AGUSTUS 2026</t>
  </si>
  <si>
    <t>Tanggal 01 S/D 31 AGUSTUS 2026</t>
  </si>
  <si>
    <t>PEMASUKAN</t>
  </si>
  <si>
    <t>HPP</t>
  </si>
  <si>
    <t>TOTAL HPP</t>
  </si>
  <si>
    <t>TOTAL INVOICE</t>
  </si>
  <si>
    <t>LABA BERSIH</t>
  </si>
  <si>
    <t>Persentase Margin</t>
  </si>
  <si>
    <t>NO.</t>
  </si>
  <si>
    <t>NAMA ORDER</t>
  </si>
  <si>
    <t>JENIS</t>
  </si>
  <si>
    <t>JML</t>
  </si>
  <si>
    <t>BAHAN</t>
  </si>
  <si>
    <t>PRES</t>
  </si>
  <si>
    <t>DTF / PLASTISOL</t>
  </si>
  <si>
    <t>BORDIR</t>
  </si>
  <si>
    <t>LAIN LAIN</t>
  </si>
  <si>
    <t>KAIN</t>
  </si>
  <si>
    <t>ZIPPER</t>
  </si>
  <si>
    <t>JAHIT</t>
  </si>
  <si>
    <t xml:space="preserve">Gibran </t>
  </si>
  <si>
    <t>Tshirt</t>
  </si>
  <si>
    <t>Respa</t>
  </si>
  <si>
    <t>Kak Reza</t>
  </si>
  <si>
    <t>Jersey</t>
  </si>
  <si>
    <t>Kak irgy</t>
  </si>
  <si>
    <t>Orado</t>
  </si>
  <si>
    <t>Kemeja</t>
  </si>
  <si>
    <t xml:space="preserve">Kak Hana </t>
  </si>
  <si>
    <t>Sampel</t>
  </si>
  <si>
    <t>Mas ripal</t>
  </si>
  <si>
    <t>Kak Indi</t>
  </si>
  <si>
    <t>Kak Rafi Himpera</t>
  </si>
  <si>
    <t>Workjaket</t>
  </si>
  <si>
    <t>Kak Lutfi</t>
  </si>
  <si>
    <t>Jaket</t>
  </si>
  <si>
    <t>Kak Pasha</t>
  </si>
  <si>
    <t>Kak Celine</t>
  </si>
  <si>
    <t>Kak Ridwan</t>
  </si>
  <si>
    <t>Baseball</t>
  </si>
  <si>
    <t>Kak dika (eve)</t>
  </si>
  <si>
    <t>Kak Cassyfa</t>
  </si>
  <si>
    <t>Libels</t>
  </si>
  <si>
    <t>Kak Sara BRI</t>
  </si>
  <si>
    <t>Abraham</t>
  </si>
  <si>
    <t>Kak fdabel</t>
  </si>
  <si>
    <t>Polo</t>
  </si>
  <si>
    <t>ORADO</t>
  </si>
  <si>
    <t>Kak Iko</t>
  </si>
  <si>
    <t>SAGA Kak Edwin</t>
  </si>
  <si>
    <t>SAGA Kak Ifana</t>
  </si>
  <si>
    <t>KAK ABRAHAM</t>
  </si>
  <si>
    <t>SABLON</t>
  </si>
  <si>
    <t>Bahan</t>
  </si>
  <si>
    <t>Kemeja chef</t>
  </si>
  <si>
    <t>Celana chef</t>
  </si>
  <si>
    <t>Topi</t>
  </si>
  <si>
    <t>Celana cargo</t>
  </si>
  <si>
    <t>BEBAN BULANAN ASKONVEKSI 01 S/D 31 AGUSTUS 2026</t>
  </si>
  <si>
    <t>TANGGAL</t>
  </si>
  <si>
    <t>PENGELUARAN</t>
  </si>
  <si>
    <t>TOTAL</t>
  </si>
  <si>
    <t>Gibran</t>
  </si>
  <si>
    <t>Sabtu, 1 Agustus 2026</t>
  </si>
  <si>
    <t>TF Mandiri</t>
  </si>
  <si>
    <t>Knitto mas moklis (gibran)</t>
  </si>
  <si>
    <t>Bonus tasya</t>
  </si>
  <si>
    <t>Lembur rokok (gibran)</t>
  </si>
  <si>
    <t>Laundry Gibran</t>
  </si>
  <si>
    <t>Laundry PT Victory</t>
  </si>
  <si>
    <t>Ongkir gibran (kantor ke soekarno hatta)</t>
  </si>
  <si>
    <t>Cicilan laptop</t>
  </si>
  <si>
    <t>Ongkir gibran travel semarang jakarta</t>
  </si>
  <si>
    <t>Senin, 3 Agustus 2026</t>
  </si>
  <si>
    <t>Ongkir admin produksi</t>
  </si>
  <si>
    <t>Press gibran</t>
  </si>
  <si>
    <t>Knitto</t>
  </si>
  <si>
    <t>DTF Gibran</t>
  </si>
  <si>
    <t xml:space="preserve">     Clawphy Rp 885.475</t>
  </si>
  <si>
    <t>Bayar mas fadli (bantu bantu gibran)</t>
  </si>
  <si>
    <t xml:space="preserve">     Respa Rp 923.475</t>
  </si>
  <si>
    <t>Benang gibran</t>
  </si>
  <si>
    <t>Jangkrik ke mba bintari (orderan virgin)</t>
  </si>
  <si>
    <t>Selasa, 4 Agustus 2026</t>
  </si>
  <si>
    <t>TF Tiga putra</t>
  </si>
  <si>
    <t xml:space="preserve">     Gibran Rp 143.000</t>
  </si>
  <si>
    <t xml:space="preserve">     Clawphy Rp 10.000</t>
  </si>
  <si>
    <t xml:space="preserve">     Clawphy Rp 33.000</t>
  </si>
  <si>
    <t>Press respa</t>
  </si>
  <si>
    <t xml:space="preserve">     Respa Rp 121.440</t>
  </si>
  <si>
    <t>DTF Respa</t>
  </si>
  <si>
    <t>Sampel katun jepang KOV</t>
  </si>
  <si>
    <t>Karung</t>
  </si>
  <si>
    <t>Kain Orado kemeja</t>
  </si>
  <si>
    <t>Loker</t>
  </si>
  <si>
    <t>Kain orado</t>
  </si>
  <si>
    <t>Rabu, 5 Agustus 2026</t>
  </si>
  <si>
    <t>Bayar mas fadli</t>
  </si>
  <si>
    <t>Kurangan orado</t>
  </si>
  <si>
    <t xml:space="preserve">     Press clawphy Rp 42.000</t>
  </si>
  <si>
    <t xml:space="preserve">     Respa Rp 70.000</t>
  </si>
  <si>
    <t>BON pak rifai</t>
  </si>
  <si>
    <t>Ifana</t>
  </si>
  <si>
    <t>Sampel kak ifana</t>
  </si>
  <si>
    <t>Jersey panitia kak ifana</t>
  </si>
  <si>
    <t>Ganti kak faw</t>
  </si>
  <si>
    <t>Print ulang</t>
  </si>
  <si>
    <t>Sampel hana</t>
  </si>
  <si>
    <t>Tambahan kak ifana</t>
  </si>
  <si>
    <t>Listrik belakang</t>
  </si>
  <si>
    <t>Konten saga ifana</t>
  </si>
  <si>
    <t>Lakban</t>
  </si>
  <si>
    <t>Jahit ifana</t>
  </si>
  <si>
    <t>Press industripolis 5 pcs</t>
  </si>
  <si>
    <t>Kamis, 6 Agustus 2026</t>
  </si>
  <si>
    <t>Knitto (belanja kain kak irgy)</t>
  </si>
  <si>
    <t>Payment magnet</t>
  </si>
  <si>
    <t xml:space="preserve">     Plaket clawphy Rp 182.040</t>
  </si>
  <si>
    <t xml:space="preserve">     Jersey ifana Rp 5.579.200</t>
  </si>
  <si>
    <t>Ovo</t>
  </si>
  <si>
    <t>ADS</t>
  </si>
  <si>
    <t>Kirim PT victory</t>
  </si>
  <si>
    <t>Isi gopay</t>
  </si>
  <si>
    <t>Reimburse tasya</t>
  </si>
  <si>
    <t xml:space="preserve">     Cash 10.000</t>
  </si>
  <si>
    <t xml:space="preserve">     Print PO 28.000</t>
  </si>
  <si>
    <t xml:space="preserve">     Makan siang mas fadli 14.000</t>
  </si>
  <si>
    <t xml:space="preserve">     Ongkir kain PU Rp 55.000</t>
  </si>
  <si>
    <t xml:space="preserve">     Benang gibran 20.000</t>
  </si>
  <si>
    <t xml:space="preserve">     Cash 100.000</t>
  </si>
  <si>
    <t xml:space="preserve">     Plastik 290.000</t>
  </si>
  <si>
    <t xml:space="preserve">     Lakban putih 54.000</t>
  </si>
  <si>
    <t>Ongkir cust (kak fajar)</t>
  </si>
  <si>
    <t>Kain kurangan kak stefani bulutsngkis</t>
  </si>
  <si>
    <t>Bayar mas fadli (clawphy)</t>
  </si>
  <si>
    <t>Jumat, 7 Agustus 2026</t>
  </si>
  <si>
    <t xml:space="preserve">     Harian 125.000</t>
  </si>
  <si>
    <t xml:space="preserve">     Antar ke bsb clawphy 50.000</t>
  </si>
  <si>
    <t>Ongkir cust</t>
  </si>
  <si>
    <t>Stabilo</t>
  </si>
  <si>
    <t>Belanja kain kak indi</t>
  </si>
  <si>
    <t>Bayar mas moklis</t>
  </si>
  <si>
    <t xml:space="preserve">     Gibran 3.210.000</t>
  </si>
  <si>
    <t xml:space="preserve">     Clawphy 126.000</t>
  </si>
  <si>
    <t xml:space="preserve">     Kak Irgy 126.000</t>
  </si>
  <si>
    <t>Salah topup gopay</t>
  </si>
  <si>
    <t>Sabtu, 8 Agustus 2026</t>
  </si>
  <si>
    <t>Iuran lingkungan</t>
  </si>
  <si>
    <t>Press industripolis</t>
  </si>
  <si>
    <t>Ongkir kak fafal</t>
  </si>
  <si>
    <t>Bayar mba bintari</t>
  </si>
  <si>
    <t xml:space="preserve">     Kemeja kak rafli 882.000</t>
  </si>
  <si>
    <t xml:space="preserve">     Sampel jaket kak hana 40.000</t>
  </si>
  <si>
    <t xml:space="preserve">     Sampel kemeja KOV 40.000</t>
  </si>
  <si>
    <t>Bayar bu yayuk</t>
  </si>
  <si>
    <t xml:space="preserve">     Jersey kak moris 168.000</t>
  </si>
  <si>
    <t xml:space="preserve">     Sampel PT Victory 30.000</t>
  </si>
  <si>
    <t xml:space="preserve">     Jersey kak fafal 350.000</t>
  </si>
  <si>
    <t xml:space="preserve">     Permak baju kak moris 65.000</t>
  </si>
  <si>
    <t xml:space="preserve">     Sampel jersey industrial 15.000</t>
  </si>
  <si>
    <t xml:space="preserve">     Sampel kak ifana 25.000</t>
  </si>
  <si>
    <t xml:space="preserve">     Jersey clawphy 1.095.000</t>
  </si>
  <si>
    <t xml:space="preserve">     Bulutangkis unika 220.000</t>
  </si>
  <si>
    <t xml:space="preserve">     Jersey industripolis 4.470.000</t>
  </si>
  <si>
    <t>Listrik depan</t>
  </si>
  <si>
    <t xml:space="preserve">     BSB clawphy 48.000</t>
  </si>
  <si>
    <t xml:space="preserve">     Press kak irgy 44.000</t>
  </si>
  <si>
    <t xml:space="preserve">     Ambil apparel 30.000</t>
  </si>
  <si>
    <t xml:space="preserve">     Packing industripolis 50.000</t>
  </si>
  <si>
    <t xml:space="preserve">     Rokok 50.000</t>
  </si>
  <si>
    <t>Senin, 10 Agustus 2026</t>
  </si>
  <si>
    <t>Free pick</t>
  </si>
  <si>
    <t>Sakura (rib sampel kak hana)</t>
  </si>
  <si>
    <t>Belanja zipper OIKN</t>
  </si>
  <si>
    <t>Kuranagan industripolis</t>
  </si>
  <si>
    <t>Bayar mba bintari (DP polo kak reza)</t>
  </si>
  <si>
    <t>Selasa, 11 Agustus 2026</t>
  </si>
  <si>
    <t>DP Konten AS</t>
  </si>
  <si>
    <t>Payment pak rokan</t>
  </si>
  <si>
    <t xml:space="preserve">     Jaket kak sandra 368.000</t>
  </si>
  <si>
    <t xml:space="preserve">     Kemeja kak rafli youngstres 496.000</t>
  </si>
  <si>
    <t xml:space="preserve">     Rompi OIKN 390.000</t>
  </si>
  <si>
    <t xml:space="preserve">     Virgin 623.000</t>
  </si>
  <si>
    <t>Proof industripolis solid</t>
  </si>
  <si>
    <t xml:space="preserve">     Print ulang 5.649.580</t>
  </si>
  <si>
    <t xml:space="preserve">     Jersey panitia kak ifana 819.000</t>
  </si>
  <si>
    <t>Bayar harian mas fadli</t>
  </si>
  <si>
    <t xml:space="preserve">     2 hari 150.000</t>
  </si>
  <si>
    <t xml:space="preserve">     Lembur virgin 30.000</t>
  </si>
  <si>
    <t>Rabu, 12 Agustus 2026</t>
  </si>
  <si>
    <t>Kain industripolis solid</t>
  </si>
  <si>
    <t>Kirim baju virgin</t>
  </si>
  <si>
    <t>Ongkir kak rafli</t>
  </si>
  <si>
    <t>Sablon plastik SAGA</t>
  </si>
  <si>
    <t>Sampel gibran</t>
  </si>
  <si>
    <t>Kamis, 13 Agustus 2026</t>
  </si>
  <si>
    <t>Payment mba bintari</t>
  </si>
  <si>
    <t xml:space="preserve">     Virgin 3.003.000</t>
  </si>
  <si>
    <t xml:space="preserve">     Orado 930.000</t>
  </si>
  <si>
    <t>Bordir mas musa (kemeja orado)</t>
  </si>
  <si>
    <t>Stiker himpera</t>
  </si>
  <si>
    <t>Kain himpera</t>
  </si>
  <si>
    <t>Ongkir kak hana</t>
  </si>
  <si>
    <t>Belanja baju event</t>
  </si>
  <si>
    <t>Tambahan industripolis</t>
  </si>
  <si>
    <t xml:space="preserve">     Harian Rabu Kamis 120.000</t>
  </si>
  <si>
    <t xml:space="preserve">     Lembur rokok 30.000</t>
  </si>
  <si>
    <t>Lembur martabak bu yayuk</t>
  </si>
  <si>
    <t>Jumat, 14 Agustus 2026</t>
  </si>
  <si>
    <t>Ongkir gibran sampel</t>
  </si>
  <si>
    <t xml:space="preserve">     DTF kak irgy 38.720</t>
  </si>
  <si>
    <t xml:space="preserve">     Ongkir 25.600</t>
  </si>
  <si>
    <t xml:space="preserve">     DTF Saga 60.940</t>
  </si>
  <si>
    <t>Kain tutup KOV</t>
  </si>
  <si>
    <t>TF Tiga putra label saga</t>
  </si>
  <si>
    <t>Sabtu, 15 Agustus 2026</t>
  </si>
  <si>
    <t>Berangkat event</t>
  </si>
  <si>
    <t>Makan siang</t>
  </si>
  <si>
    <t>Minum event</t>
  </si>
  <si>
    <t xml:space="preserve">     Seragam AS 200.350</t>
  </si>
  <si>
    <t xml:space="preserve">     Polo kak fdabel BPKAD 2.898.550</t>
  </si>
  <si>
    <t xml:space="preserve">     Kak Iko 1.862.750</t>
  </si>
  <si>
    <t>Meeting kak abraham</t>
  </si>
  <si>
    <t>Gopay pulang event &amp; drop kain knitto mas moklis</t>
  </si>
  <si>
    <t>Kekurangan kain himpera</t>
  </si>
  <si>
    <t>Isi bensin event</t>
  </si>
  <si>
    <t>Payment bu yayuk</t>
  </si>
  <si>
    <t xml:space="preserve">     Sampel libels 12.000</t>
  </si>
  <si>
    <t xml:space="preserve">     Kak ifana 1.910.000</t>
  </si>
  <si>
    <t xml:space="preserve">     Industripolis 440.000</t>
  </si>
  <si>
    <t xml:space="preserve">     Kain pak yudhoro 1.446.020</t>
  </si>
  <si>
    <t xml:space="preserve">     Sampel pmas ripal 83.800</t>
  </si>
  <si>
    <t xml:space="preserve">     Tambahan kak ifana 145.380</t>
  </si>
  <si>
    <t>Bayar mas fadli event saga</t>
  </si>
  <si>
    <t xml:space="preserve">     Gosend industripolis 21.000</t>
  </si>
  <si>
    <t xml:space="preserve">     Plastik OPP &amp; Ziplock saga 410.000</t>
  </si>
  <si>
    <t xml:space="preserve">     Makan siang mas fadli 8.000</t>
  </si>
  <si>
    <t xml:space="preserve">     Plastik &amp; mineral 2 dus 89.000</t>
  </si>
  <si>
    <t xml:space="preserve">     Gosend 12.000</t>
  </si>
  <si>
    <t xml:space="preserve">     Minum event saga 20.000</t>
  </si>
  <si>
    <t>Selasa, 18 Agustus 2026</t>
  </si>
  <si>
    <t>DTF BPKAD</t>
  </si>
  <si>
    <t>Sampel topi abraham</t>
  </si>
  <si>
    <t>Wifi</t>
  </si>
  <si>
    <t>Sampel babytery</t>
  </si>
  <si>
    <t>Print sampel as</t>
  </si>
  <si>
    <t>Rabu, 19 Agustus 2026</t>
  </si>
  <si>
    <t>Bayar pres mas fadli BPKAD</t>
  </si>
  <si>
    <t>Meja</t>
  </si>
  <si>
    <t>Sampel abraham, mesh</t>
  </si>
  <si>
    <t>Kamis, 20 Agustus 2026</t>
  </si>
  <si>
    <t xml:space="preserve">ADS </t>
  </si>
  <si>
    <t>Zipper himpera</t>
  </si>
  <si>
    <t xml:space="preserve">     Abraham 2.376.750</t>
  </si>
  <si>
    <t xml:space="preserve">     Kak sarah BRI 1.385.855</t>
  </si>
  <si>
    <t xml:space="preserve">     Kak pasha entelmi 1.769.625</t>
  </si>
  <si>
    <t xml:space="preserve">     Kak Orado 354.125</t>
  </si>
  <si>
    <t xml:space="preserve">     Krah kak iko 124.950</t>
  </si>
  <si>
    <t>Sampel mesh</t>
  </si>
  <si>
    <t>Gopay knitto mas moklis</t>
  </si>
  <si>
    <t>Jumat, 21 Agustus 2026</t>
  </si>
  <si>
    <t>DTF Gajah</t>
  </si>
  <si>
    <t xml:space="preserve">     Sarah BRI 162.150</t>
  </si>
  <si>
    <t xml:space="preserve">     Orado 46.000</t>
  </si>
  <si>
    <t>Sabtu, 22 Agustus 2026</t>
  </si>
  <si>
    <t>Bensin Aegis</t>
  </si>
  <si>
    <t>Ongkir OKIN</t>
  </si>
  <si>
    <t>Kepala cas &amp; casing tasya</t>
  </si>
  <si>
    <t>Makan meeting ageis</t>
  </si>
  <si>
    <t>Kain kak celine</t>
  </si>
  <si>
    <t xml:space="preserve">     Orado 24.000</t>
  </si>
  <si>
    <t xml:space="preserve">     Print pres Sarah BRI 125.000</t>
  </si>
  <si>
    <t xml:space="preserve">     Lembur 50.000</t>
  </si>
  <si>
    <t xml:space="preserve">     Kain kak dika 565.000</t>
  </si>
  <si>
    <t xml:space="preserve">     Kain kak ridwan 1.076.000</t>
  </si>
  <si>
    <t>Kopi lembur anak anak</t>
  </si>
  <si>
    <t>Sewa mobil meeting ageis</t>
  </si>
  <si>
    <t>Minggu, 23 Agustus 2026</t>
  </si>
  <si>
    <t>Lembur</t>
  </si>
  <si>
    <t>Lembur makan</t>
  </si>
  <si>
    <t>Senin, 24 Agustus 2026</t>
  </si>
  <si>
    <t xml:space="preserve">     Militan mas ripal Rp 1.214.500</t>
  </si>
  <si>
    <t xml:space="preserve">     Libels cup Rp 3.738.560</t>
  </si>
  <si>
    <t>Reimburse kak gandrik</t>
  </si>
  <si>
    <t xml:space="preserve">     ADS AS Rp 400.000</t>
  </si>
  <si>
    <t xml:space="preserve">     ADS Saga 100.000</t>
  </si>
  <si>
    <t xml:space="preserve">     Centang biru AS 110.000</t>
  </si>
  <si>
    <t>Reimburse kak fawaz</t>
  </si>
  <si>
    <t>Belanja kain abraham (set chef)</t>
  </si>
  <si>
    <t xml:space="preserve">SALDO AKHIR </t>
  </si>
  <si>
    <t>HARI, TANGGAL</t>
  </si>
  <si>
    <t>KETERANGAN</t>
  </si>
  <si>
    <t>SALDO</t>
  </si>
  <si>
    <t>SALDO AKHIR</t>
  </si>
  <si>
    <t>DEBIT</t>
  </si>
  <si>
    <t>KREDIT</t>
  </si>
  <si>
    <t>Depotit kak reza</t>
  </si>
  <si>
    <t>Deposit kak hana</t>
  </si>
  <si>
    <t>DP kak ifana</t>
  </si>
  <si>
    <t>Pengeluaran</t>
  </si>
  <si>
    <t>Minggu, 2 Agustus 2026</t>
  </si>
  <si>
    <t>Deposit kak celine</t>
  </si>
  <si>
    <t>Pelunasan kak fajar</t>
  </si>
  <si>
    <t>DP Orado</t>
  </si>
  <si>
    <t>Pelunasan PT Victory</t>
  </si>
  <si>
    <t>DP Polo kak Reza</t>
  </si>
  <si>
    <t>Pelunasan Clawphy unika</t>
  </si>
  <si>
    <t>Ongkir kak fajar</t>
  </si>
  <si>
    <t>Pelunasan kak irgy</t>
  </si>
  <si>
    <t>DP Kak Indi</t>
  </si>
  <si>
    <t>Pelunasan kak fafal / naufal</t>
  </si>
  <si>
    <t>Minggu, 9 Agustus 2026</t>
  </si>
  <si>
    <t>Industripolis</t>
  </si>
  <si>
    <t>Deposit kak wahyu</t>
  </si>
  <si>
    <t>Deposit kak radit</t>
  </si>
  <si>
    <t>DP kak ifana panitia</t>
  </si>
  <si>
    <t>Pelunasan unika bulutangkis</t>
  </si>
  <si>
    <t>Pelunasan kak ifana</t>
  </si>
  <si>
    <t>Deposit kak ozy</t>
  </si>
  <si>
    <t>Pelunasan kak rafli youngstres</t>
  </si>
  <si>
    <t>Pelunasan gibran</t>
  </si>
  <si>
    <t>DP Mas ripal</t>
  </si>
  <si>
    <t>Pelunasan orado</t>
  </si>
  <si>
    <t>Fawwaz ganti AS</t>
  </si>
  <si>
    <t>DP Kak rafi himpera</t>
  </si>
  <si>
    <t>Pelunasan kak sandra</t>
  </si>
  <si>
    <t>Pelunasan kak respa</t>
  </si>
  <si>
    <t>Deposit kak mario</t>
  </si>
  <si>
    <t>Deposit kal fina</t>
  </si>
  <si>
    <t>DP Kak Iko</t>
  </si>
  <si>
    <t>DP Kak Fdabel</t>
  </si>
  <si>
    <t>Minggu, 16 Agustus 2026</t>
  </si>
  <si>
    <t>Senin, 17 Agustus 2026</t>
  </si>
  <si>
    <t>Pelunasan kak fdabel</t>
  </si>
  <si>
    <t>Deposit kak nurwahida</t>
  </si>
  <si>
    <t>Pelunasan pak yudhoro</t>
  </si>
  <si>
    <t>DP Kak lutfi jaket</t>
  </si>
  <si>
    <t>DP Kak celine</t>
  </si>
  <si>
    <t>DP Kak Pasha</t>
  </si>
  <si>
    <t>DP Kak Sara</t>
  </si>
  <si>
    <t>DP Kak najwa libels</t>
  </si>
  <si>
    <t>DP Kak cassyfa</t>
  </si>
  <si>
    <t>Pelunasan OKIN</t>
  </si>
  <si>
    <t>Deposit kak nana</t>
  </si>
  <si>
    <t>DP Kak dika</t>
  </si>
  <si>
    <t>Pelunasan kak ridwan</t>
  </si>
  <si>
    <t>Ongkir OIKN</t>
  </si>
  <si>
    <t>Pelunasan kak abraham</t>
  </si>
  <si>
    <t>Selasa, 25 Agustus 2026</t>
  </si>
  <si>
    <t>Rabu, 26 Agustus 2026</t>
  </si>
  <si>
    <t>Kamis, 27 Agustus 2026</t>
  </si>
  <si>
    <t>Jumat, 28 Agustus 2026</t>
  </si>
  <si>
    <t>Sabtu, 29 Agustus 2026</t>
  </si>
  <si>
    <t>Minggu, 30 Agustus 2026</t>
  </si>
  <si>
    <t>Senin, 31 Agustus 2026</t>
  </si>
  <si>
    <t>TERBELANJAKAN</t>
  </si>
  <si>
    <t>DEPOSIT</t>
  </si>
  <si>
    <t>DP</t>
  </si>
  <si>
    <t>SISA</t>
  </si>
  <si>
    <t>Pengeluaran murni Agustus</t>
  </si>
  <si>
    <t>Per tgl 23 Agustus 2026</t>
  </si>
  <si>
    <t>RINCIAN PENGELUARAN</t>
  </si>
  <si>
    <t>Lingkungan</t>
  </si>
  <si>
    <t>Free Pick</t>
  </si>
  <si>
    <t>Listrik Belakang</t>
  </si>
  <si>
    <t>Peralatan / Perlengkapan Kantor</t>
  </si>
  <si>
    <t>Konten</t>
  </si>
  <si>
    <t>Meeting</t>
  </si>
  <si>
    <t>Event ifana saga</t>
  </si>
  <si>
    <t>Gosend mobil produksi</t>
  </si>
  <si>
    <t>Plastik OPP &amp; Ziplock saga</t>
  </si>
  <si>
    <t>Plastik &amp; mineral 2 dus</t>
  </si>
  <si>
    <t>Minum event saga ifana</t>
  </si>
  <si>
    <t>Bensin Aegis meeting</t>
  </si>
  <si>
    <t>Lembur mas fadli orado &amp; BRI</t>
  </si>
  <si>
    <t>ADS AS</t>
  </si>
  <si>
    <t>ADS Saga</t>
  </si>
  <si>
    <t>Centang biru AS</t>
  </si>
  <si>
    <t>Catatan</t>
  </si>
  <si>
    <t>Per 24 Agustus 2026</t>
  </si>
  <si>
    <t>Deposit agustus 2026</t>
  </si>
  <si>
    <t>Uang masuk</t>
  </si>
  <si>
    <t>Terbelanjakan</t>
  </si>
  <si>
    <t>Total</t>
  </si>
  <si>
    <t>Pengeluaran agst (per 24 agst 2026)</t>
  </si>
  <si>
    <t>Bersih</t>
  </si>
  <si>
    <t>REK BNI sekarang</t>
  </si>
  <si>
    <t>BNI ke Mandiri</t>
  </si>
  <si>
    <t>Uang mandiri (project bulan lalu)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</si>
</sst>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&quot;Rp&quot;* #,##0_-;\-&quot;Rp&quot;* #,##0_-;_-&quot;Rp&quot;* &quot;-&quot;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31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0" borderId="11" applyNumberFormat="0" applyAlignment="0" applyProtection="0">
      <alignment vertical="center"/>
    </xf>
    <xf numFmtId="0" fontId="17" fillId="31" borderId="12" applyNumberFormat="0" applyAlignment="0" applyProtection="0">
      <alignment vertical="center"/>
    </xf>
    <xf numFmtId="0" fontId="18" fillId="31" borderId="11" applyNumberFormat="0" applyAlignment="0" applyProtection="0">
      <alignment vertical="center"/>
    </xf>
    <xf numFmtId="0" fontId="19" fillId="3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1" xfId="0" applyFill="1" applyBorder="1" applyAlignment="1">
      <alignment horizontal="left" vertical="center"/>
    </xf>
    <xf numFmtId="180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180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Border="1">
      <alignment vertical="center"/>
    </xf>
    <xf numFmtId="180" fontId="2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1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180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>
      <alignment vertical="center"/>
    </xf>
    <xf numFmtId="180" fontId="0" fillId="5" borderId="1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180" fontId="0" fillId="6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180" fontId="0" fillId="7" borderId="1" xfId="0" applyNumberFormat="1" applyFill="1" applyBorder="1">
      <alignment vertical="center"/>
    </xf>
    <xf numFmtId="180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80" fontId="0" fillId="9" borderId="1" xfId="0" applyNumberFormat="1" applyFill="1" applyBorder="1">
      <alignment vertical="center"/>
    </xf>
    <xf numFmtId="180" fontId="0" fillId="10" borderId="1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11" borderId="1" xfId="0" applyFill="1" applyBorder="1">
      <alignment vertical="center"/>
    </xf>
    <xf numFmtId="180" fontId="0" fillId="11" borderId="1" xfId="0" applyNumberFormat="1" applyFill="1" applyBorder="1">
      <alignment vertical="center"/>
    </xf>
    <xf numFmtId="180" fontId="0" fillId="12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0" fontId="0" fillId="14" borderId="1" xfId="0" applyFill="1" applyBorder="1">
      <alignment vertical="center"/>
    </xf>
    <xf numFmtId="180" fontId="0" fillId="14" borderId="1" xfId="0" applyNumberFormat="1" applyFill="1" applyBorder="1">
      <alignment vertical="center"/>
    </xf>
    <xf numFmtId="0" fontId="0" fillId="15" borderId="1" xfId="0" applyFill="1" applyBorder="1">
      <alignment vertical="center"/>
    </xf>
    <xf numFmtId="180" fontId="0" fillId="15" borderId="1" xfId="0" applyNumberFormat="1" applyFill="1" applyBorder="1">
      <alignment vertical="center"/>
    </xf>
    <xf numFmtId="180" fontId="0" fillId="16" borderId="1" xfId="0" applyNumberFormat="1" applyFill="1" applyBorder="1">
      <alignment vertical="center"/>
    </xf>
    <xf numFmtId="0" fontId="0" fillId="12" borderId="1" xfId="0" applyFill="1" applyBorder="1">
      <alignment vertical="center"/>
    </xf>
    <xf numFmtId="180" fontId="0" fillId="17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80" fontId="0" fillId="9" borderId="1" xfId="0" applyNumberFormat="1" applyFill="1" applyBorder="1">
      <alignment vertical="center"/>
    </xf>
    <xf numFmtId="180" fontId="0" fillId="18" borderId="1" xfId="0" applyNumberFormat="1" applyFill="1" applyBorder="1">
      <alignment vertical="center"/>
    </xf>
    <xf numFmtId="0" fontId="0" fillId="12" borderId="1" xfId="0" applyFill="1" applyBorder="1">
      <alignment vertical="center"/>
    </xf>
    <xf numFmtId="180" fontId="0" fillId="12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80" fontId="0" fillId="5" borderId="1" xfId="0" applyNumberFormat="1" applyFill="1" applyBorder="1">
      <alignment vertical="center"/>
    </xf>
    <xf numFmtId="0" fontId="0" fillId="19" borderId="1" xfId="0" applyFill="1" applyBorder="1">
      <alignment vertical="center"/>
    </xf>
    <xf numFmtId="0" fontId="0" fillId="14" borderId="1" xfId="0" applyFill="1" applyBorder="1">
      <alignment vertical="center"/>
    </xf>
    <xf numFmtId="180" fontId="0" fillId="14" borderId="1" xfId="0" applyNumberFormat="1" applyFill="1" applyBorder="1">
      <alignment vertical="center"/>
    </xf>
    <xf numFmtId="0" fontId="0" fillId="11" borderId="1" xfId="0" applyFill="1" applyBorder="1">
      <alignment vertical="center"/>
    </xf>
    <xf numFmtId="0" fontId="0" fillId="13" borderId="1" xfId="0" applyFill="1" applyBorder="1">
      <alignment vertical="center"/>
    </xf>
    <xf numFmtId="180" fontId="0" fillId="13" borderId="1" xfId="0" applyNumberFormat="1" applyFill="1" applyBorder="1">
      <alignment vertical="center"/>
    </xf>
    <xf numFmtId="180" fontId="4" fillId="0" borderId="0" xfId="0" applyNumberFormat="1" applyFont="1">
      <alignment vertical="center"/>
    </xf>
    <xf numFmtId="0" fontId="0" fillId="10" borderId="1" xfId="0" applyFill="1" applyBorder="1">
      <alignment vertical="center"/>
    </xf>
    <xf numFmtId="180" fontId="0" fillId="10" borderId="1" xfId="0" applyNumberFormat="1" applyFill="1" applyBorder="1">
      <alignment vertical="center"/>
    </xf>
    <xf numFmtId="0" fontId="0" fillId="16" borderId="1" xfId="0" applyFill="1" applyBorder="1">
      <alignment vertical="center"/>
    </xf>
    <xf numFmtId="180" fontId="0" fillId="16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180" fontId="0" fillId="7" borderId="1" xfId="0" applyNumberFormat="1" applyFill="1" applyBorder="1">
      <alignment vertical="center"/>
    </xf>
    <xf numFmtId="0" fontId="0" fillId="15" borderId="1" xfId="0" applyFill="1" applyBorder="1">
      <alignment vertical="center"/>
    </xf>
    <xf numFmtId="180" fontId="0" fillId="15" borderId="1" xfId="0" applyNumberFormat="1" applyFill="1" applyBorder="1">
      <alignment vertical="center"/>
    </xf>
    <xf numFmtId="0" fontId="0" fillId="18" borderId="1" xfId="0" applyFill="1" applyBorder="1">
      <alignment vertical="center"/>
    </xf>
    <xf numFmtId="180" fontId="0" fillId="18" borderId="1" xfId="0" applyNumberFormat="1" applyFill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17" borderId="1" xfId="0" applyFill="1" applyBorder="1">
      <alignment vertical="center"/>
    </xf>
    <xf numFmtId="180" fontId="0" fillId="17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80" fontId="0" fillId="9" borderId="1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180" fontId="0" fillId="18" borderId="1" xfId="0" applyNumberFormat="1" applyFill="1" applyBorder="1" applyAlignment="1">
      <alignment vertical="center"/>
    </xf>
    <xf numFmtId="180" fontId="0" fillId="19" borderId="1" xfId="0" applyNumberFormat="1" applyFill="1" applyBorder="1" applyAlignment="1">
      <alignment vertical="center"/>
    </xf>
    <xf numFmtId="180" fontId="0" fillId="19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180" fontId="0" fillId="6" borderId="1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20" borderId="1" xfId="0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0" fillId="23" borderId="1" xfId="0" applyFon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ill="1" applyBorder="1">
      <alignment vertical="center"/>
    </xf>
    <xf numFmtId="0" fontId="6" fillId="25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80" fontId="0" fillId="0" borderId="1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180" fontId="0" fillId="9" borderId="2" xfId="0" applyNumberForma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9" borderId="3" xfId="0" applyNumberForma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9" borderId="4" xfId="0" applyNumberFormat="1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9" borderId="0" xfId="0" applyNumberFormat="1" applyFill="1">
      <alignment vertical="center"/>
    </xf>
    <xf numFmtId="180" fontId="0" fillId="0" borderId="5" xfId="0" applyNumberFormat="1" applyBorder="1">
      <alignment vertical="center"/>
    </xf>
    <xf numFmtId="180" fontId="0" fillId="9" borderId="1" xfId="0" applyNumberFormat="1" applyFill="1" applyBorder="1" applyAlignment="1">
      <alignment horizontal="center" vertical="center"/>
    </xf>
    <xf numFmtId="0" fontId="0" fillId="27" borderId="1" xfId="0" applyFill="1" applyBorder="1">
      <alignment vertical="center"/>
    </xf>
    <xf numFmtId="180" fontId="0" fillId="27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80" fontId="0" fillId="0" borderId="2" xfId="0" applyNumberFormat="1" applyFill="1" applyBorder="1" applyAlignment="1">
      <alignment horizontal="center" vertical="center"/>
    </xf>
    <xf numFmtId="180" fontId="0" fillId="0" borderId="3" xfId="0" applyNumberFormat="1" applyFill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0" fontId="7" fillId="25" borderId="6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180" fontId="0" fillId="0" borderId="1" xfId="0" applyNumberFormat="1" applyFill="1" applyBorder="1" applyAlignment="1">
      <alignment horizontal="right"/>
    </xf>
    <xf numFmtId="180" fontId="0" fillId="0" borderId="1" xfId="0" applyNumberForma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opLeftCell="B3" workbookViewId="0">
      <selection activeCell="E11" sqref="E11"/>
    </sheetView>
  </sheetViews>
  <sheetFormatPr defaultColWidth="8.88888888888889" defaultRowHeight="14.4"/>
  <cols>
    <col min="1" max="1" width="4.33333333333333" customWidth="1"/>
    <col min="2" max="2" width="26" customWidth="1"/>
    <col min="3" max="3" width="15.7777777777778" customWidth="1"/>
    <col min="4" max="4" width="6.66666666666667" customWidth="1"/>
    <col min="5" max="6" width="13.1111111111111" customWidth="1"/>
    <col min="7" max="8" width="13" customWidth="1"/>
    <col min="9" max="9" width="14.3333333333333" customWidth="1"/>
    <col min="10" max="10" width="14.2222222222222" customWidth="1"/>
    <col min="11" max="11" width="13.1111111111111" customWidth="1"/>
    <col min="12" max="13" width="17" customWidth="1"/>
    <col min="14" max="14" width="15.9351851851852" customWidth="1"/>
    <col min="15" max="15" width="18.1111111111111" customWidth="1"/>
  </cols>
  <sheetData>
    <row r="1" s="85" customFormat="1" ht="19.8" spans="1:1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</row>
    <row r="2" s="85" customFormat="1" spans="1:15">
      <c r="A2" s="138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="85" customFormat="1" spans="1:15">
      <c r="A3" s="86" t="s">
        <v>2</v>
      </c>
      <c r="B3" s="86"/>
      <c r="C3" s="86"/>
      <c r="D3" s="86"/>
      <c r="E3" s="87" t="s">
        <v>3</v>
      </c>
      <c r="F3" s="87"/>
      <c r="G3" s="87"/>
      <c r="H3" s="87"/>
      <c r="I3" s="87"/>
      <c r="J3" s="87"/>
      <c r="K3" s="87"/>
      <c r="L3" s="88" t="s">
        <v>4</v>
      </c>
      <c r="M3" s="89" t="s">
        <v>5</v>
      </c>
      <c r="N3" s="91" t="s">
        <v>6</v>
      </c>
      <c r="O3" s="139" t="s">
        <v>7</v>
      </c>
    </row>
    <row r="4" s="85" customFormat="1" spans="1:15">
      <c r="A4" s="92" t="s">
        <v>8</v>
      </c>
      <c r="B4" s="92" t="s">
        <v>9</v>
      </c>
      <c r="C4" s="92" t="s">
        <v>10</v>
      </c>
      <c r="D4" s="92" t="s">
        <v>11</v>
      </c>
      <c r="E4" s="93" t="s">
        <v>12</v>
      </c>
      <c r="F4" s="93"/>
      <c r="G4" s="93"/>
      <c r="H4" s="93" t="s">
        <v>13</v>
      </c>
      <c r="I4" s="93" t="s">
        <v>14</v>
      </c>
      <c r="J4" s="93" t="s">
        <v>15</v>
      </c>
      <c r="K4" s="93" t="s">
        <v>16</v>
      </c>
      <c r="L4" s="88"/>
      <c r="M4" s="89"/>
      <c r="N4" s="91"/>
      <c r="O4" s="140"/>
    </row>
    <row r="5" s="85" customFormat="1" spans="1:15">
      <c r="A5" s="92"/>
      <c r="B5" s="92"/>
      <c r="C5" s="92"/>
      <c r="D5" s="92"/>
      <c r="E5" s="93" t="s">
        <v>17</v>
      </c>
      <c r="F5" s="93" t="s">
        <v>18</v>
      </c>
      <c r="G5" s="93" t="s">
        <v>19</v>
      </c>
      <c r="H5" s="93"/>
      <c r="I5" s="93"/>
      <c r="J5" s="93"/>
      <c r="K5" s="93"/>
      <c r="L5" s="88"/>
      <c r="M5" s="89"/>
      <c r="N5" s="91"/>
      <c r="O5" s="140"/>
    </row>
    <row r="6" spans="1:15">
      <c r="A6" s="96">
        <f>ROW()-5</f>
        <v>1</v>
      </c>
      <c r="B6" s="97" t="s">
        <v>20</v>
      </c>
      <c r="C6" s="97" t="s">
        <v>21</v>
      </c>
      <c r="D6" s="98">
        <v>500</v>
      </c>
      <c r="E6" s="6">
        <v>11554740</v>
      </c>
      <c r="F6" s="99"/>
      <c r="G6" s="6">
        <v>3210000</v>
      </c>
      <c r="H6" s="6">
        <v>627500</v>
      </c>
      <c r="I6" s="6">
        <v>143000</v>
      </c>
      <c r="J6" s="99"/>
      <c r="K6" s="23">
        <v>1887500</v>
      </c>
      <c r="L6" s="23">
        <f>E6+F6+G6+H6+I6+J6+K6</f>
        <v>17422740</v>
      </c>
      <c r="M6" s="23">
        <v>21400000</v>
      </c>
      <c r="N6" s="23">
        <f>M6-L6</f>
        <v>3977260</v>
      </c>
      <c r="O6" s="97">
        <f>N6/M6</f>
        <v>0.185853271028037</v>
      </c>
    </row>
    <row r="7" spans="1:15">
      <c r="A7" s="100"/>
      <c r="B7" s="97" t="s">
        <v>22</v>
      </c>
      <c r="C7" s="97" t="s">
        <v>21</v>
      </c>
      <c r="D7" s="98">
        <v>35</v>
      </c>
      <c r="E7" s="6">
        <v>923475</v>
      </c>
      <c r="F7" s="99"/>
      <c r="G7" s="6"/>
      <c r="H7" s="6">
        <v>70000</v>
      </c>
      <c r="I7" s="6">
        <v>121440</v>
      </c>
      <c r="J7" s="99"/>
      <c r="K7" s="23"/>
      <c r="L7" s="23">
        <f>E7+F7+G7+H7+I7+J7+K7</f>
        <v>1114915</v>
      </c>
      <c r="M7" s="23">
        <v>2150000</v>
      </c>
      <c r="N7" s="23">
        <f>M7-L7</f>
        <v>1035085</v>
      </c>
      <c r="O7" s="97">
        <f>N7/M7</f>
        <v>0.48143488372093</v>
      </c>
    </row>
    <row r="8" spans="1:15">
      <c r="A8" s="101">
        <f>ROW()-6</f>
        <v>2</v>
      </c>
      <c r="B8" s="32" t="s">
        <v>23</v>
      </c>
      <c r="C8" s="97" t="s">
        <v>24</v>
      </c>
      <c r="D8" s="98">
        <v>21</v>
      </c>
      <c r="E8" s="33">
        <v>1870000</v>
      </c>
      <c r="F8" s="23"/>
      <c r="G8" s="6"/>
      <c r="H8" s="23"/>
      <c r="I8" s="23"/>
      <c r="J8" s="23"/>
      <c r="K8" s="23"/>
      <c r="L8" s="23">
        <f>E8+F8+G8+H8+I8+J8+K8</f>
        <v>1870000</v>
      </c>
      <c r="M8" s="23">
        <v>2410000</v>
      </c>
      <c r="N8" s="23">
        <f>M8-L8</f>
        <v>540000</v>
      </c>
      <c r="O8" s="97">
        <f t="shared" ref="O8:O29" si="0">N8/M8</f>
        <v>0.224066390041494</v>
      </c>
    </row>
    <row r="9" spans="1:15">
      <c r="A9" s="101">
        <f>ROW()-6</f>
        <v>3</v>
      </c>
      <c r="B9" s="97" t="s">
        <v>25</v>
      </c>
      <c r="C9" s="97" t="s">
        <v>21</v>
      </c>
      <c r="D9" s="98">
        <v>21</v>
      </c>
      <c r="E9" s="99">
        <v>694050</v>
      </c>
      <c r="F9" s="99"/>
      <c r="G9" s="6">
        <v>126000</v>
      </c>
      <c r="H9" s="6">
        <v>44000</v>
      </c>
      <c r="I9" s="99">
        <v>38730</v>
      </c>
      <c r="J9" s="23"/>
      <c r="K9" s="23"/>
      <c r="L9" s="23">
        <f>E9+F9+G9+H9+I9+J9+K9</f>
        <v>902780</v>
      </c>
      <c r="M9" s="23">
        <v>1772000</v>
      </c>
      <c r="N9" s="23">
        <f>M9-L9</f>
        <v>869220</v>
      </c>
      <c r="O9" s="97">
        <f t="shared" si="0"/>
        <v>0.490530474040632</v>
      </c>
    </row>
    <row r="10" spans="1:15">
      <c r="A10" s="101">
        <f>ROW()-6</f>
        <v>4</v>
      </c>
      <c r="B10" s="97" t="s">
        <v>26</v>
      </c>
      <c r="C10" s="97" t="s">
        <v>27</v>
      </c>
      <c r="D10" s="98">
        <v>30</v>
      </c>
      <c r="E10" s="6">
        <v>1882350</v>
      </c>
      <c r="F10" s="99"/>
      <c r="G10" s="6">
        <v>930000</v>
      </c>
      <c r="H10" s="99"/>
      <c r="I10" s="99"/>
      <c r="J10" s="6">
        <v>111000</v>
      </c>
      <c r="K10" s="23"/>
      <c r="L10" s="23">
        <f>E10+F10+G10+H10+I10+J10+K10</f>
        <v>2923350</v>
      </c>
      <c r="M10" s="23">
        <v>4865000</v>
      </c>
      <c r="N10" s="23">
        <f>M10-L10</f>
        <v>1941650</v>
      </c>
      <c r="O10" s="97">
        <f t="shared" si="0"/>
        <v>0.399105858170606</v>
      </c>
    </row>
    <row r="11" spans="1:15">
      <c r="A11" s="101">
        <f>ROW()-6</f>
        <v>5</v>
      </c>
      <c r="B11" s="97" t="s">
        <v>28</v>
      </c>
      <c r="C11" s="97" t="s">
        <v>29</v>
      </c>
      <c r="D11" s="98">
        <v>1</v>
      </c>
      <c r="E11" s="6">
        <v>110280</v>
      </c>
      <c r="F11" s="99"/>
      <c r="G11" s="6">
        <v>40000</v>
      </c>
      <c r="H11" s="99"/>
      <c r="I11" s="99"/>
      <c r="J11" s="99"/>
      <c r="K11" s="23">
        <v>11000</v>
      </c>
      <c r="L11" s="23">
        <f>E11+F11+G11+H11+I11+J11+K11</f>
        <v>161280</v>
      </c>
      <c r="M11" s="23">
        <v>250000</v>
      </c>
      <c r="N11" s="23">
        <f>M11-L11</f>
        <v>88720</v>
      </c>
      <c r="O11" s="97">
        <f t="shared" si="0"/>
        <v>0.35488</v>
      </c>
    </row>
    <row r="12" spans="1:15">
      <c r="A12" s="101">
        <f t="shared" ref="A12:A25" si="1">ROW()-6</f>
        <v>6</v>
      </c>
      <c r="B12" s="32" t="s">
        <v>30</v>
      </c>
      <c r="C12" s="97" t="s">
        <v>24</v>
      </c>
      <c r="D12" s="98">
        <v>30</v>
      </c>
      <c r="E12" s="33"/>
      <c r="F12" s="23"/>
      <c r="G12" s="33"/>
      <c r="H12" s="23"/>
      <c r="I12" s="23"/>
      <c r="J12" s="23"/>
      <c r="K12" s="23">
        <v>83800</v>
      </c>
      <c r="L12" s="23">
        <f>E12+F12+G12+H12+I12+J12+K12</f>
        <v>83800</v>
      </c>
      <c r="M12" s="23">
        <v>2830000</v>
      </c>
      <c r="N12" s="23">
        <f t="shared" ref="N12:N25" si="2">M12-L12</f>
        <v>2746200</v>
      </c>
      <c r="O12" s="97">
        <f t="shared" si="0"/>
        <v>0.970388692579505</v>
      </c>
    </row>
    <row r="13" spans="1:15">
      <c r="A13" s="101">
        <f t="shared" si="1"/>
        <v>7</v>
      </c>
      <c r="B13" s="32" t="s">
        <v>31</v>
      </c>
      <c r="C13" s="97" t="s">
        <v>27</v>
      </c>
      <c r="D13" s="98">
        <v>44</v>
      </c>
      <c r="E13" s="102">
        <v>1873000</v>
      </c>
      <c r="F13" s="23"/>
      <c r="G13" s="33"/>
      <c r="H13" s="23"/>
      <c r="I13" s="23"/>
      <c r="J13" s="33"/>
      <c r="K13" s="23"/>
      <c r="L13" s="23">
        <f>E13+F13+G13+H13+I13+J13+K13</f>
        <v>1873000</v>
      </c>
      <c r="M13" s="23">
        <v>6180000</v>
      </c>
      <c r="N13" s="23">
        <f t="shared" si="2"/>
        <v>4307000</v>
      </c>
      <c r="O13" s="97">
        <f t="shared" si="0"/>
        <v>0.696925566343042</v>
      </c>
    </row>
    <row r="14" spans="1:15">
      <c r="A14" s="101">
        <f t="shared" si="1"/>
        <v>8</v>
      </c>
      <c r="B14" s="32" t="s">
        <v>32</v>
      </c>
      <c r="C14" s="97" t="s">
        <v>33</v>
      </c>
      <c r="D14" s="98">
        <v>48</v>
      </c>
      <c r="E14" s="33"/>
      <c r="F14" s="33"/>
      <c r="G14" s="33"/>
      <c r="H14" s="23"/>
      <c r="I14" s="23"/>
      <c r="J14" s="33"/>
      <c r="K14" s="23"/>
      <c r="L14" s="23">
        <f t="shared" ref="L12:L25" si="3">E14+F14+G14+H14+I14+J14+K14</f>
        <v>0</v>
      </c>
      <c r="M14" s="23">
        <v>8210000</v>
      </c>
      <c r="N14" s="23">
        <f t="shared" si="2"/>
        <v>8210000</v>
      </c>
      <c r="O14" s="97">
        <f t="shared" si="0"/>
        <v>1</v>
      </c>
    </row>
    <row r="15" spans="1:15">
      <c r="A15" s="101">
        <f t="shared" si="1"/>
        <v>9</v>
      </c>
      <c r="B15" s="32" t="s">
        <v>34</v>
      </c>
      <c r="C15" s="97" t="s">
        <v>35</v>
      </c>
      <c r="D15" s="98">
        <v>35</v>
      </c>
      <c r="E15" s="33"/>
      <c r="F15" s="23"/>
      <c r="G15" s="33"/>
      <c r="H15" s="23"/>
      <c r="I15" s="23"/>
      <c r="J15" s="33"/>
      <c r="K15" s="23"/>
      <c r="L15" s="23">
        <f t="shared" si="3"/>
        <v>0</v>
      </c>
      <c r="M15" s="23">
        <v>7530000</v>
      </c>
      <c r="N15" s="23">
        <f t="shared" si="2"/>
        <v>7530000</v>
      </c>
      <c r="O15" s="97">
        <f t="shared" si="0"/>
        <v>1</v>
      </c>
    </row>
    <row r="16" spans="1:15">
      <c r="A16" s="101">
        <f t="shared" si="1"/>
        <v>10</v>
      </c>
      <c r="B16" s="32" t="s">
        <v>36</v>
      </c>
      <c r="C16" s="97" t="s">
        <v>21</v>
      </c>
      <c r="D16" s="98">
        <v>47</v>
      </c>
      <c r="E16" s="6">
        <v>1769625</v>
      </c>
      <c r="F16" s="33"/>
      <c r="G16" s="33"/>
      <c r="H16" s="33"/>
      <c r="I16" s="33"/>
      <c r="J16" s="23"/>
      <c r="K16" s="23"/>
      <c r="L16" s="23">
        <f t="shared" si="3"/>
        <v>1769625</v>
      </c>
      <c r="M16" s="23">
        <v>3300000</v>
      </c>
      <c r="N16" s="23">
        <f t="shared" si="2"/>
        <v>1530375</v>
      </c>
      <c r="O16" s="97">
        <f t="shared" si="0"/>
        <v>0.46375</v>
      </c>
    </row>
    <row r="17" spans="1:15">
      <c r="A17" s="101">
        <f t="shared" si="1"/>
        <v>11</v>
      </c>
      <c r="B17" s="32" t="s">
        <v>37</v>
      </c>
      <c r="C17" s="97" t="s">
        <v>24</v>
      </c>
      <c r="D17" s="98">
        <v>34</v>
      </c>
      <c r="E17" s="102">
        <v>1546300</v>
      </c>
      <c r="F17" s="23"/>
      <c r="G17" s="33"/>
      <c r="H17" s="23"/>
      <c r="I17" s="23"/>
      <c r="J17" s="23"/>
      <c r="K17" s="23"/>
      <c r="L17" s="23">
        <f t="shared" si="3"/>
        <v>1546300</v>
      </c>
      <c r="M17" s="23">
        <v>4310000</v>
      </c>
      <c r="N17" s="23">
        <f t="shared" si="2"/>
        <v>2763700</v>
      </c>
      <c r="O17" s="97">
        <f t="shared" si="0"/>
        <v>0.64122969837587</v>
      </c>
    </row>
    <row r="18" spans="1:15">
      <c r="A18" s="101">
        <f t="shared" si="1"/>
        <v>12</v>
      </c>
      <c r="B18" s="32" t="s">
        <v>38</v>
      </c>
      <c r="C18" s="97" t="s">
        <v>39</v>
      </c>
      <c r="D18" s="98">
        <v>16</v>
      </c>
      <c r="E18" s="6">
        <v>1076000</v>
      </c>
      <c r="F18" s="23"/>
      <c r="G18" s="33"/>
      <c r="H18" s="23"/>
      <c r="I18" s="33"/>
      <c r="J18" s="23"/>
      <c r="K18" s="23"/>
      <c r="L18" s="23">
        <f t="shared" si="3"/>
        <v>1076000</v>
      </c>
      <c r="M18" s="23">
        <v>2480000</v>
      </c>
      <c r="N18" s="23">
        <f t="shared" si="2"/>
        <v>1404000</v>
      </c>
      <c r="O18" s="97">
        <f t="shared" si="0"/>
        <v>0.566129032258065</v>
      </c>
    </row>
    <row r="19" spans="1:15">
      <c r="A19" s="101">
        <f t="shared" si="1"/>
        <v>13</v>
      </c>
      <c r="B19" s="32" t="s">
        <v>40</v>
      </c>
      <c r="C19" s="97" t="s">
        <v>21</v>
      </c>
      <c r="D19" s="98">
        <v>16</v>
      </c>
      <c r="E19" s="6">
        <v>565000</v>
      </c>
      <c r="F19" s="23"/>
      <c r="G19" s="33"/>
      <c r="H19" s="33"/>
      <c r="I19" s="33"/>
      <c r="J19" s="23"/>
      <c r="K19" s="23"/>
      <c r="L19" s="23">
        <f t="shared" si="3"/>
        <v>565000</v>
      </c>
      <c r="M19" s="23">
        <v>1319000</v>
      </c>
      <c r="N19" s="23">
        <f t="shared" si="2"/>
        <v>754000</v>
      </c>
      <c r="O19" s="97">
        <f t="shared" si="0"/>
        <v>0.571645185746778</v>
      </c>
    </row>
    <row r="20" spans="1:15">
      <c r="A20" s="101">
        <f>ROW()-6</f>
        <v>14</v>
      </c>
      <c r="B20" s="32" t="s">
        <v>41</v>
      </c>
      <c r="C20" s="97" t="s">
        <v>24</v>
      </c>
      <c r="D20" s="98">
        <v>25</v>
      </c>
      <c r="E20" s="33"/>
      <c r="F20" s="23"/>
      <c r="G20" s="33"/>
      <c r="H20" s="23"/>
      <c r="I20" s="23"/>
      <c r="J20" s="23"/>
      <c r="K20" s="23"/>
      <c r="L20" s="23">
        <f>E20+F20+G20+H20+I20+J20+K20</f>
        <v>0</v>
      </c>
      <c r="M20" s="23">
        <v>4220000</v>
      </c>
      <c r="N20" s="23">
        <f>M20-L20</f>
        <v>4220000</v>
      </c>
      <c r="O20" s="97">
        <f t="shared" si="0"/>
        <v>1</v>
      </c>
    </row>
    <row r="21" spans="1:15">
      <c r="A21" s="101">
        <f>ROW()-6</f>
        <v>15</v>
      </c>
      <c r="B21" s="32" t="s">
        <v>42</v>
      </c>
      <c r="C21" s="97" t="s">
        <v>24</v>
      </c>
      <c r="D21" s="98">
        <v>104</v>
      </c>
      <c r="E21" s="33"/>
      <c r="F21" s="23"/>
      <c r="G21" s="33"/>
      <c r="H21" s="23"/>
      <c r="I21" s="23"/>
      <c r="J21" s="23"/>
      <c r="K21" s="23">
        <v>12000</v>
      </c>
      <c r="L21" s="23">
        <f>E21+F21+G21+H21+I21+J21+K21</f>
        <v>12000</v>
      </c>
      <c r="M21" s="23">
        <v>7510000</v>
      </c>
      <c r="N21" s="23">
        <f>M21-L21</f>
        <v>7498000</v>
      </c>
      <c r="O21" s="97">
        <f t="shared" si="0"/>
        <v>0.998402130492676</v>
      </c>
    </row>
    <row r="22" spans="1:15">
      <c r="A22" s="101">
        <f>ROW()-6</f>
        <v>16</v>
      </c>
      <c r="B22" s="97" t="s">
        <v>43</v>
      </c>
      <c r="C22" s="97" t="s">
        <v>21</v>
      </c>
      <c r="D22" s="98">
        <v>50</v>
      </c>
      <c r="E22" s="6">
        <v>1385855</v>
      </c>
      <c r="F22" s="99"/>
      <c r="G22" s="33"/>
      <c r="H22" s="6">
        <v>125000</v>
      </c>
      <c r="I22" s="6">
        <v>162150</v>
      </c>
      <c r="J22" s="23"/>
      <c r="K22" s="23"/>
      <c r="L22" s="23">
        <f>E22+F22+G22+H22+I22+J22+K22</f>
        <v>1673005</v>
      </c>
      <c r="M22" s="23">
        <v>3060000</v>
      </c>
      <c r="N22" s="23">
        <f>M22-L22</f>
        <v>1386995</v>
      </c>
      <c r="O22" s="97">
        <f t="shared" si="0"/>
        <v>0.453266339869281</v>
      </c>
    </row>
    <row r="23" spans="1:15">
      <c r="A23" s="101">
        <f>ROW()-6</f>
        <v>17</v>
      </c>
      <c r="B23" s="32" t="s">
        <v>44</v>
      </c>
      <c r="C23" s="97"/>
      <c r="D23" s="98">
        <v>160</v>
      </c>
      <c r="E23" s="33"/>
      <c r="F23" s="23"/>
      <c r="G23" s="33"/>
      <c r="H23" s="23"/>
      <c r="I23" s="33"/>
      <c r="J23" s="33"/>
      <c r="K23" s="23"/>
      <c r="L23" s="23">
        <f>E23+F23+G23+H23+I23+J23+K23</f>
        <v>0</v>
      </c>
      <c r="M23" s="23">
        <v>14368000</v>
      </c>
      <c r="N23" s="23">
        <f>M23-L23</f>
        <v>14368000</v>
      </c>
      <c r="O23" s="97">
        <f t="shared" si="0"/>
        <v>1</v>
      </c>
    </row>
    <row r="24" spans="1:15">
      <c r="A24" s="101">
        <f>ROW()-6</f>
        <v>18</v>
      </c>
      <c r="B24" s="97" t="s">
        <v>45</v>
      </c>
      <c r="C24" s="97" t="s">
        <v>46</v>
      </c>
      <c r="D24" s="98">
        <v>60</v>
      </c>
      <c r="E24" s="6">
        <v>2898550</v>
      </c>
      <c r="F24" s="99"/>
      <c r="G24" s="6"/>
      <c r="H24" s="99">
        <v>122500</v>
      </c>
      <c r="I24" s="99">
        <v>25500</v>
      </c>
      <c r="J24" s="6"/>
      <c r="K24" s="23"/>
      <c r="L24" s="23">
        <f>E24+F24+G24+H24+I24+J24+K24</f>
        <v>3046550</v>
      </c>
      <c r="M24" s="23">
        <v>5575000</v>
      </c>
      <c r="N24" s="23">
        <f>M24-L24</f>
        <v>2528450</v>
      </c>
      <c r="O24" s="97">
        <f t="shared" si="0"/>
        <v>0.453533632286996</v>
      </c>
    </row>
    <row r="25" spans="1:15">
      <c r="A25" s="101">
        <f>ROW()-6</f>
        <v>19</v>
      </c>
      <c r="B25" s="3" t="s">
        <v>47</v>
      </c>
      <c r="C25" s="3" t="s">
        <v>21</v>
      </c>
      <c r="D25" s="1">
        <v>12</v>
      </c>
      <c r="E25" s="8">
        <v>354125</v>
      </c>
      <c r="F25" s="102"/>
      <c r="G25" s="8"/>
      <c r="H25" s="8">
        <v>24000</v>
      </c>
      <c r="I25" s="8">
        <v>46000</v>
      </c>
      <c r="J25" s="4"/>
      <c r="K25" s="4"/>
      <c r="L25" s="23">
        <f>E25+F25+G25+H25+I25+J25+K25</f>
        <v>424125</v>
      </c>
      <c r="M25" s="4">
        <v>819000</v>
      </c>
      <c r="N25" s="23">
        <f>M25-L25</f>
        <v>394875</v>
      </c>
      <c r="O25" s="97">
        <f>N25/M25</f>
        <v>0.482142857142857</v>
      </c>
    </row>
    <row r="26" spans="1:15">
      <c r="A26" s="101">
        <f>ROW()-6</f>
        <v>20</v>
      </c>
      <c r="B26" s="47" t="s">
        <v>48</v>
      </c>
      <c r="C26" s="3" t="s">
        <v>46</v>
      </c>
      <c r="D26" s="1">
        <v>33</v>
      </c>
      <c r="E26" s="8">
        <v>1862750</v>
      </c>
      <c r="F26" s="102"/>
      <c r="G26" s="48"/>
      <c r="H26" s="102"/>
      <c r="I26" s="102"/>
      <c r="J26" s="8"/>
      <c r="K26" s="4">
        <v>124950</v>
      </c>
      <c r="L26" s="23">
        <f>E26+F26+G26+H26+I26+J26+K26</f>
        <v>1987700</v>
      </c>
      <c r="M26" s="4">
        <v>4035000</v>
      </c>
      <c r="N26" s="23">
        <f>M26-L26</f>
        <v>2047300</v>
      </c>
      <c r="O26" s="97">
        <f>N26/M26</f>
        <v>0.507385377942999</v>
      </c>
    </row>
    <row r="27" spans="1:15">
      <c r="A27" s="101">
        <f>ROW()-6</f>
        <v>21</v>
      </c>
      <c r="B27" s="32" t="s">
        <v>49</v>
      </c>
      <c r="C27" s="97" t="s">
        <v>24</v>
      </c>
      <c r="D27" s="98">
        <v>12</v>
      </c>
      <c r="E27" s="33"/>
      <c r="F27" s="23"/>
      <c r="G27" s="33"/>
      <c r="H27" s="23"/>
      <c r="I27" s="23"/>
      <c r="J27" s="23"/>
      <c r="K27" s="23"/>
      <c r="L27" s="23">
        <f>E27+F27+G27+H27+I27+J27+K27</f>
        <v>0</v>
      </c>
      <c r="M27" s="23">
        <v>1480000</v>
      </c>
      <c r="N27" s="23">
        <f>M27-L27</f>
        <v>1480000</v>
      </c>
      <c r="O27" s="97">
        <f>N27/M27</f>
        <v>1</v>
      </c>
    </row>
    <row r="28" spans="1:15">
      <c r="A28" s="101">
        <f>ROW()-6</f>
        <v>22</v>
      </c>
      <c r="B28" s="3" t="s">
        <v>50</v>
      </c>
      <c r="C28" s="3" t="s">
        <v>24</v>
      </c>
      <c r="D28" s="1">
        <v>181</v>
      </c>
      <c r="E28" s="8">
        <v>5579200</v>
      </c>
      <c r="F28" s="102"/>
      <c r="G28" s="102">
        <v>1910000</v>
      </c>
      <c r="H28" s="102"/>
      <c r="I28" s="102"/>
      <c r="J28" s="102"/>
      <c r="K28" s="4">
        <v>6941460</v>
      </c>
      <c r="L28" s="23">
        <f>E28+F28+G28+H28+I28+J28+K28</f>
        <v>14430660</v>
      </c>
      <c r="M28" s="4">
        <v>12388000</v>
      </c>
      <c r="N28" s="23">
        <f>M28-L28</f>
        <v>-2042660</v>
      </c>
      <c r="O28" s="97">
        <f>N28/M28</f>
        <v>-0.164890216338392</v>
      </c>
    </row>
    <row r="29" spans="1:15">
      <c r="D29" s="14">
        <f>SUM(D6:D27)</f>
        <v>1334</v>
      </c>
      <c r="E29" s="2"/>
      <c r="F29" s="2"/>
      <c r="G29" s="2"/>
      <c r="H29" s="2"/>
      <c r="I29" s="2"/>
      <c r="J29" s="2"/>
      <c r="K29" s="2"/>
      <c r="L29" s="2"/>
      <c r="M29" s="60">
        <f>SUM(M6:M28)</f>
        <v>122461000</v>
      </c>
      <c r="N29" s="2"/>
    </row>
    <row r="30" spans="1:15">
      <c r="D30" s="14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5">
      <c r="C31" s="141" t="s">
        <v>51</v>
      </c>
      <c r="D31" s="141"/>
      <c r="E31" s="141"/>
      <c r="F31" s="141"/>
      <c r="G31" s="141"/>
      <c r="H31" s="141"/>
      <c r="I31" s="141"/>
      <c r="J31" s="141"/>
      <c r="K31" s="141"/>
      <c r="L31" s="2"/>
      <c r="M31" s="2"/>
      <c r="N31" s="2"/>
    </row>
    <row r="32" spans="1:15">
      <c r="C32" s="142" t="s">
        <v>10</v>
      </c>
      <c r="D32" s="142" t="s">
        <v>11</v>
      </c>
      <c r="E32" s="143" t="s">
        <v>12</v>
      </c>
      <c r="F32" s="143"/>
      <c r="G32" s="143"/>
      <c r="H32" s="143" t="s">
        <v>13</v>
      </c>
      <c r="I32" s="143" t="s">
        <v>52</v>
      </c>
      <c r="J32" s="143" t="s">
        <v>15</v>
      </c>
      <c r="K32" s="143" t="s">
        <v>16</v>
      </c>
      <c r="L32" s="2"/>
      <c r="M32" s="2"/>
      <c r="N32" s="2"/>
    </row>
    <row r="33" spans="3:14">
      <c r="C33" s="144"/>
      <c r="D33" s="144"/>
      <c r="E33" s="143" t="s">
        <v>53</v>
      </c>
      <c r="F33" s="143" t="s">
        <v>18</v>
      </c>
      <c r="G33" s="143" t="s">
        <v>19</v>
      </c>
      <c r="H33" s="143"/>
      <c r="I33" s="143"/>
      <c r="J33" s="143"/>
      <c r="K33" s="143"/>
      <c r="L33" s="2"/>
      <c r="M33" s="2"/>
      <c r="N33" s="2"/>
    </row>
    <row r="34" spans="3:14">
      <c r="C34" s="145" t="s">
        <v>21</v>
      </c>
      <c r="D34" s="146">
        <v>72</v>
      </c>
      <c r="E34" s="6">
        <v>2376750</v>
      </c>
      <c r="F34" s="147"/>
      <c r="G34" s="147"/>
      <c r="H34" s="147"/>
      <c r="I34" s="147"/>
      <c r="J34" s="147"/>
      <c r="K34" s="147"/>
      <c r="L34" s="2"/>
      <c r="M34" s="2"/>
      <c r="N34" s="2"/>
    </row>
    <row r="35" spans="3:14">
      <c r="C35" s="145" t="s">
        <v>54</v>
      </c>
      <c r="D35" s="146">
        <v>16</v>
      </c>
      <c r="E35" s="148"/>
      <c r="F35" s="147"/>
      <c r="G35" s="147"/>
      <c r="H35" s="147"/>
      <c r="I35" s="147"/>
      <c r="J35" s="147"/>
      <c r="K35" s="147"/>
      <c r="L35" s="2"/>
      <c r="M35" s="2"/>
      <c r="N35" s="2"/>
    </row>
    <row r="36" spans="3:14">
      <c r="C36" s="145" t="s">
        <v>55</v>
      </c>
      <c r="D36" s="146">
        <v>12</v>
      </c>
      <c r="E36" s="23"/>
      <c r="F36" s="147"/>
      <c r="G36" s="147"/>
      <c r="H36" s="147"/>
      <c r="I36" s="147"/>
      <c r="J36" s="147"/>
      <c r="K36" s="23"/>
      <c r="L36" s="2"/>
      <c r="M36" s="2"/>
      <c r="N36" s="2"/>
    </row>
    <row r="37" spans="3:14">
      <c r="C37" s="3" t="s">
        <v>46</v>
      </c>
      <c r="D37" s="1">
        <v>36</v>
      </c>
      <c r="E37" s="4"/>
      <c r="F37" s="4"/>
      <c r="G37" s="4"/>
      <c r="H37" s="4"/>
      <c r="I37" s="4"/>
      <c r="J37" s="4"/>
      <c r="K37" s="4"/>
      <c r="L37" s="2"/>
      <c r="M37" s="2"/>
      <c r="N37" s="2"/>
    </row>
    <row r="38" spans="3:14">
      <c r="C38" s="3" t="s">
        <v>56</v>
      </c>
      <c r="D38" s="1">
        <v>24</v>
      </c>
      <c r="E38" s="4"/>
      <c r="F38" s="4"/>
      <c r="G38" s="4"/>
      <c r="H38" s="4"/>
      <c r="I38" s="4"/>
      <c r="J38" s="4"/>
      <c r="K38" s="4"/>
      <c r="L38" s="2"/>
      <c r="M38" s="2"/>
      <c r="N38" s="2"/>
    </row>
    <row r="39" spans="3:14">
      <c r="C39" s="3" t="s">
        <v>57</v>
      </c>
      <c r="D39" s="1"/>
      <c r="E39" s="4"/>
      <c r="F39" s="4"/>
      <c r="G39" s="4"/>
      <c r="H39" s="4"/>
      <c r="I39" s="4"/>
      <c r="J39" s="4"/>
      <c r="K39" s="4"/>
      <c r="L39" s="2"/>
      <c r="M39" s="2"/>
      <c r="N39" s="2"/>
    </row>
    <row r="40" spans="3:14">
      <c r="D40" s="14">
        <f>SUM(D34:D39)</f>
        <v>160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3:14">
      <c r="D41" s="14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3:14">
      <c r="D42" s="14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3:14">
      <c r="D43" s="14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3:14">
      <c r="D44" s="14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3:14">
      <c r="D45" s="14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4"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4">
      <c r="D47" s="14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4">
      <c r="D48" s="14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4:14">
      <c r="D49" s="14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4:14"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4:14"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4:14"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4:14"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4:14"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4:14"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4:14"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4:14"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4:14"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4:14"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4:14"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4:14"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4:14"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4:14"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4:14"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5:14"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5:14"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5:14"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5:14"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5:14"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5:14"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5:14"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5:14"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5:14"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5:14"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5:14"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5:14"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5:14"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5:14"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5:14"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5:14"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5:14"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5:14"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5:14"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5:14"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5:14"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5:14"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5:14"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5:14"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5:14"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5:14"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5:14"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5:14"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5:14"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5:14"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5:14"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5:14"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5:14"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5:14"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5:14"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5:14"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5:14"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5:14"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5:14"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5:14"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5:14"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5:14"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5:14"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5:14"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5:14"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5:14"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5:14"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5:14"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5:14"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5:14">
      <c r="E114" s="2"/>
      <c r="F114" s="2"/>
      <c r="G114" s="2"/>
      <c r="H114" s="2"/>
      <c r="I114" s="2"/>
      <c r="J114" s="2"/>
      <c r="K114" s="2"/>
      <c r="L114" s="2"/>
      <c r="M114" s="2"/>
      <c r="N114" s="2"/>
    </row>
  </sheetData>
  <mergeCells count="26">
    <mergeCell ref="A1:O1"/>
    <mergeCell ref="A2:O2"/>
    <mergeCell ref="A3:D3"/>
    <mergeCell ref="E3:K3"/>
    <mergeCell ref="E4:G4"/>
    <mergeCell ref="C31:K31"/>
    <mergeCell ref="E32:G32"/>
    <mergeCell ref="A4:A5"/>
    <mergeCell ref="A6:A7"/>
    <mergeCell ref="B4:B5"/>
    <mergeCell ref="C4:C5"/>
    <mergeCell ref="C32:C33"/>
    <mergeCell ref="D4:D5"/>
    <mergeCell ref="D32:D33"/>
    <mergeCell ref="H4:H5"/>
    <mergeCell ref="H32:H33"/>
    <mergeCell ref="I4:I5"/>
    <mergeCell ref="I32:I33"/>
    <mergeCell ref="J4:J5"/>
    <mergeCell ref="J32:J33"/>
    <mergeCell ref="K4:K5"/>
    <mergeCell ref="K32:K33"/>
    <mergeCell ref="L3:L5"/>
    <mergeCell ref="M3:M5"/>
    <mergeCell ref="N3:N5"/>
    <mergeCell ref="O3:O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1"/>
  <sheetViews>
    <sheetView zoomScale="85" zoomScaleNormal="85" topLeftCell="A213" workbookViewId="0">
      <selection activeCell="B230" sqref="B230:C234"/>
    </sheetView>
  </sheetViews>
  <sheetFormatPr defaultColWidth="8.88888888888889" defaultRowHeight="14.4"/>
  <cols>
    <col min="1" max="1" width="23.8888888888889" customWidth="1"/>
    <col min="2" max="2" width="51.5555555555556" customWidth="1"/>
    <col min="3" max="3" width="28.3333333333333" customWidth="1"/>
    <col min="4" max="5" width="13.1111111111111" customWidth="1"/>
    <col min="7" max="7" width="24.1111111111111" customWidth="1"/>
    <col min="8" max="8" width="13.1111111111111" customWidth="1"/>
  </cols>
  <sheetData>
    <row r="1" ht="21" spans="1:8">
      <c r="A1" s="103" t="s">
        <v>58</v>
      </c>
      <c r="B1" s="103"/>
      <c r="C1" s="103"/>
    </row>
    <row r="2" spans="1:8">
      <c r="A2" s="18" t="s">
        <v>59</v>
      </c>
      <c r="B2" s="18" t="s">
        <v>60</v>
      </c>
      <c r="C2" s="18" t="s">
        <v>61</v>
      </c>
      <c r="G2" s="1" t="s">
        <v>62</v>
      </c>
      <c r="H2" s="1"/>
    </row>
    <row r="3" spans="1:8">
      <c r="A3" s="20" t="s">
        <v>63</v>
      </c>
      <c r="B3" s="32" t="s">
        <v>64</v>
      </c>
      <c r="C3" s="33">
        <v>600000</v>
      </c>
      <c r="D3" s="33">
        <v>600000</v>
      </c>
      <c r="E3" s="2"/>
      <c r="F3" s="2"/>
      <c r="G3" s="97" t="s">
        <v>65</v>
      </c>
      <c r="H3" s="23">
        <v>86000</v>
      </c>
    </row>
    <row r="4" spans="1:8">
      <c r="A4" s="27"/>
      <c r="B4" s="32" t="s">
        <v>66</v>
      </c>
      <c r="C4" s="33">
        <v>1002500</v>
      </c>
      <c r="D4" s="23">
        <v>1002500</v>
      </c>
      <c r="E4" s="2"/>
      <c r="F4" s="2"/>
      <c r="G4" s="97" t="s">
        <v>67</v>
      </c>
      <c r="H4" s="23">
        <v>72500</v>
      </c>
    </row>
    <row r="5" spans="1:8">
      <c r="A5" s="27"/>
      <c r="B5" s="32" t="s">
        <v>65</v>
      </c>
      <c r="C5" s="33">
        <v>86000</v>
      </c>
      <c r="D5" s="23">
        <v>86000</v>
      </c>
      <c r="E5" s="2"/>
      <c r="F5" s="2"/>
      <c r="G5" s="97" t="s">
        <v>68</v>
      </c>
      <c r="H5" s="23">
        <v>252500</v>
      </c>
    </row>
    <row r="6" spans="1:8">
      <c r="A6" s="27"/>
      <c r="B6" s="32" t="s">
        <v>69</v>
      </c>
      <c r="C6" s="33">
        <v>92500</v>
      </c>
      <c r="D6" s="23">
        <v>92500</v>
      </c>
      <c r="E6" s="2"/>
      <c r="F6" s="2"/>
      <c r="G6" s="97" t="s">
        <v>70</v>
      </c>
      <c r="H6" s="23">
        <v>66000</v>
      </c>
    </row>
    <row r="7" s="115" customFormat="1" spans="1:8">
      <c r="A7" s="35"/>
      <c r="B7" s="116" t="s">
        <v>71</v>
      </c>
      <c r="C7" s="117">
        <v>752000</v>
      </c>
      <c r="D7" s="117">
        <v>752000</v>
      </c>
      <c r="E7" s="118"/>
      <c r="F7" s="118"/>
      <c r="G7" s="97" t="s">
        <v>72</v>
      </c>
      <c r="H7" s="23">
        <v>477500</v>
      </c>
    </row>
    <row r="8" spans="1:8">
      <c r="A8" s="20" t="s">
        <v>73</v>
      </c>
      <c r="B8" s="97" t="s">
        <v>74</v>
      </c>
      <c r="C8" s="23">
        <v>100000</v>
      </c>
      <c r="D8" s="60">
        <f>SUM(D3:D7)</f>
        <v>2533000</v>
      </c>
      <c r="E8" s="23">
        <v>100000</v>
      </c>
      <c r="F8" s="2"/>
      <c r="G8" s="97" t="s">
        <v>75</v>
      </c>
      <c r="H8" s="23">
        <v>627500</v>
      </c>
    </row>
    <row r="9" spans="1:8">
      <c r="A9" s="27"/>
      <c r="B9" s="32" t="s">
        <v>76</v>
      </c>
      <c r="C9" s="119">
        <v>1811450</v>
      </c>
      <c r="D9" s="2"/>
      <c r="E9" s="120">
        <v>1811450</v>
      </c>
      <c r="F9" s="2"/>
      <c r="G9" s="4" t="s">
        <v>77</v>
      </c>
      <c r="H9" s="4">
        <v>143000</v>
      </c>
    </row>
    <row r="10" spans="1:8">
      <c r="A10" s="27"/>
      <c r="B10" s="32" t="s">
        <v>78</v>
      </c>
      <c r="C10" s="121"/>
      <c r="D10" s="2"/>
      <c r="E10" s="122"/>
      <c r="F10" s="2"/>
      <c r="G10" s="97" t="s">
        <v>79</v>
      </c>
      <c r="H10" s="23">
        <v>102500</v>
      </c>
    </row>
    <row r="11" spans="1:8">
      <c r="A11" s="27"/>
      <c r="B11" s="32" t="s">
        <v>80</v>
      </c>
      <c r="C11" s="123"/>
      <c r="D11" s="2"/>
      <c r="E11" s="124"/>
      <c r="F11" s="2"/>
      <c r="G11" s="4" t="s">
        <v>81</v>
      </c>
      <c r="H11" s="4">
        <v>60000</v>
      </c>
    </row>
    <row r="12" spans="1:8">
      <c r="A12" s="27"/>
      <c r="B12" s="32" t="s">
        <v>82</v>
      </c>
      <c r="C12" s="33">
        <v>63000</v>
      </c>
      <c r="D12" s="2"/>
      <c r="E12" s="23">
        <v>63000</v>
      </c>
      <c r="F12" s="2"/>
      <c r="G12" s="2"/>
      <c r="H12" s="2">
        <f>SUM(H3:H11)</f>
        <v>1887500</v>
      </c>
    </row>
    <row r="13" spans="1:8">
      <c r="A13" s="27"/>
      <c r="B13" s="97" t="s">
        <v>74</v>
      </c>
      <c r="C13" s="23">
        <v>100000</v>
      </c>
      <c r="D13" s="2"/>
      <c r="E13" s="23">
        <v>100000</v>
      </c>
      <c r="F13" s="2"/>
      <c r="G13" s="2"/>
      <c r="H13" s="2"/>
    </row>
    <row r="14" spans="1:8">
      <c r="A14" s="35"/>
      <c r="B14" s="32" t="s">
        <v>67</v>
      </c>
      <c r="C14" s="33">
        <v>72500</v>
      </c>
      <c r="D14" s="2"/>
      <c r="E14" s="23">
        <v>72500</v>
      </c>
      <c r="F14" s="2"/>
      <c r="G14" s="125" t="s">
        <v>62</v>
      </c>
      <c r="H14" s="125"/>
    </row>
    <row r="15" spans="1:8">
      <c r="A15" s="20" t="s">
        <v>83</v>
      </c>
      <c r="B15" s="32" t="s">
        <v>75</v>
      </c>
      <c r="C15" s="33">
        <v>627500</v>
      </c>
      <c r="D15" s="23">
        <v>627500</v>
      </c>
      <c r="E15" s="60">
        <f>SUM(E8:E14)</f>
        <v>2146950</v>
      </c>
      <c r="F15" s="2"/>
      <c r="G15" s="97" t="s">
        <v>75</v>
      </c>
      <c r="H15" s="23">
        <v>627500</v>
      </c>
    </row>
    <row r="16" spans="1:8">
      <c r="A16" s="27"/>
      <c r="B16" s="32" t="s">
        <v>84</v>
      </c>
      <c r="C16" s="119">
        <v>309940</v>
      </c>
      <c r="D16" s="120">
        <v>309940</v>
      </c>
      <c r="E16" s="2"/>
      <c r="F16" s="2"/>
      <c r="G16" s="4" t="s">
        <v>77</v>
      </c>
      <c r="H16" s="4">
        <v>143000</v>
      </c>
    </row>
    <row r="17" spans="1:8">
      <c r="A17" s="27"/>
      <c r="B17" s="32" t="s">
        <v>85</v>
      </c>
      <c r="C17" s="121"/>
      <c r="D17" s="122"/>
      <c r="E17" s="2"/>
      <c r="F17" s="2"/>
      <c r="G17" s="2"/>
      <c r="H17" s="2"/>
    </row>
    <row r="18" spans="1:8">
      <c r="A18" s="27"/>
      <c r="B18" s="32" t="s">
        <v>86</v>
      </c>
      <c r="C18" s="121"/>
      <c r="D18" s="122"/>
      <c r="E18" s="2"/>
      <c r="F18" s="2"/>
      <c r="G18" s="125" t="s">
        <v>22</v>
      </c>
      <c r="H18" s="125"/>
    </row>
    <row r="19" spans="1:8">
      <c r="A19" s="27"/>
      <c r="B19" s="32" t="s">
        <v>87</v>
      </c>
      <c r="C19" s="121"/>
      <c r="D19" s="122"/>
      <c r="E19" s="2"/>
      <c r="F19" s="2"/>
      <c r="G19" s="4" t="s">
        <v>88</v>
      </c>
      <c r="H19" s="4">
        <v>70000</v>
      </c>
    </row>
    <row r="20" spans="1:8">
      <c r="A20" s="27"/>
      <c r="B20" s="32" t="s">
        <v>89</v>
      </c>
      <c r="C20" s="123"/>
      <c r="D20" s="124"/>
      <c r="E20" s="2"/>
      <c r="F20" s="2"/>
      <c r="G20" s="4" t="s">
        <v>90</v>
      </c>
      <c r="H20" s="4">
        <v>121440</v>
      </c>
    </row>
    <row r="21" spans="1:8">
      <c r="A21" s="27"/>
      <c r="B21" s="97" t="s">
        <v>91</v>
      </c>
      <c r="C21" s="23">
        <v>78625</v>
      </c>
      <c r="D21" s="23">
        <v>78625</v>
      </c>
      <c r="E21" s="2"/>
      <c r="F21" s="2"/>
      <c r="G21" s="2"/>
      <c r="H21" s="2"/>
    </row>
    <row r="22" spans="1:8">
      <c r="A22" s="27"/>
      <c r="B22" s="97" t="s">
        <v>92</v>
      </c>
      <c r="C22" s="23">
        <v>120000</v>
      </c>
      <c r="D22" s="23">
        <v>120000</v>
      </c>
      <c r="E22" s="2"/>
      <c r="F22" s="2"/>
      <c r="G22" s="125" t="s">
        <v>93</v>
      </c>
      <c r="H22" s="125"/>
    </row>
    <row r="23" spans="1:8">
      <c r="A23" s="35"/>
      <c r="B23" s="97" t="s">
        <v>94</v>
      </c>
      <c r="C23" s="23">
        <v>200000</v>
      </c>
      <c r="D23" s="23">
        <v>200000</v>
      </c>
      <c r="E23" s="2"/>
      <c r="F23" s="2"/>
      <c r="G23" s="97" t="s">
        <v>95</v>
      </c>
      <c r="H23" s="23">
        <v>1351000</v>
      </c>
    </row>
    <row r="24" spans="1:8">
      <c r="A24" s="20" t="s">
        <v>96</v>
      </c>
      <c r="B24" s="32" t="s">
        <v>97</v>
      </c>
      <c r="C24" s="119">
        <v>114500</v>
      </c>
      <c r="D24" s="120"/>
      <c r="E24" s="120">
        <v>114500</v>
      </c>
      <c r="F24" s="2"/>
      <c r="G24" s="97" t="s">
        <v>98</v>
      </c>
      <c r="H24" s="23">
        <v>372250</v>
      </c>
    </row>
    <row r="25" spans="1:8">
      <c r="A25" s="27"/>
      <c r="B25" s="32" t="s">
        <v>99</v>
      </c>
      <c r="C25" s="121"/>
      <c r="D25" s="122"/>
      <c r="E25" s="122"/>
      <c r="F25" s="2"/>
      <c r="G25" s="3" t="s">
        <v>98</v>
      </c>
      <c r="H25" s="4">
        <v>159100</v>
      </c>
    </row>
    <row r="26" spans="1:8">
      <c r="A26" s="27"/>
      <c r="B26" s="32" t="s">
        <v>100</v>
      </c>
      <c r="C26" s="123"/>
      <c r="D26" s="124"/>
      <c r="E26" s="124"/>
      <c r="F26" s="2"/>
      <c r="G26" s="2"/>
      <c r="H26" s="2">
        <f>SUM(H23:H25)</f>
        <v>1882350</v>
      </c>
    </row>
    <row r="27" spans="1:8">
      <c r="A27" s="27"/>
      <c r="B27" s="32" t="s">
        <v>101</v>
      </c>
      <c r="C27" s="33">
        <v>202500</v>
      </c>
      <c r="D27" s="60">
        <f>SUM(D15:D26)</f>
        <v>1336065</v>
      </c>
      <c r="E27" s="23">
        <v>202500</v>
      </c>
      <c r="F27" s="126"/>
      <c r="G27" s="2"/>
      <c r="H27" s="2"/>
    </row>
    <row r="28" spans="1:8">
      <c r="A28" s="27"/>
      <c r="B28" s="32" t="s">
        <v>68</v>
      </c>
      <c r="C28" s="33">
        <v>252500</v>
      </c>
      <c r="D28" s="2"/>
      <c r="E28" s="23">
        <v>252500</v>
      </c>
      <c r="F28" s="2"/>
      <c r="G28" s="125" t="s">
        <v>102</v>
      </c>
      <c r="H28" s="125"/>
    </row>
    <row r="29" spans="1:8">
      <c r="A29" s="27"/>
      <c r="B29" s="97" t="s">
        <v>74</v>
      </c>
      <c r="C29" s="23">
        <v>10000</v>
      </c>
      <c r="D29" s="2"/>
      <c r="E29" s="23">
        <v>10000</v>
      </c>
      <c r="F29" s="2"/>
      <c r="G29" s="3" t="s">
        <v>103</v>
      </c>
      <c r="H29" s="4">
        <v>25000</v>
      </c>
    </row>
    <row r="30" spans="1:8">
      <c r="A30" s="27"/>
      <c r="B30" s="97" t="s">
        <v>74</v>
      </c>
      <c r="C30" s="23">
        <v>90000</v>
      </c>
      <c r="D30" s="2"/>
      <c r="E30" s="23">
        <v>90000</v>
      </c>
      <c r="F30" s="2"/>
      <c r="G30" s="3" t="s">
        <v>104</v>
      </c>
      <c r="H30" s="4">
        <v>819000</v>
      </c>
    </row>
    <row r="31" spans="1:8">
      <c r="A31" s="27"/>
      <c r="B31" s="32" t="s">
        <v>105</v>
      </c>
      <c r="C31" s="33">
        <v>66900</v>
      </c>
      <c r="D31" s="2"/>
      <c r="E31" s="23">
        <v>66900</v>
      </c>
      <c r="F31" s="2"/>
      <c r="G31" s="3" t="s">
        <v>106</v>
      </c>
      <c r="H31" s="4">
        <v>5649580</v>
      </c>
    </row>
    <row r="32" spans="1:8">
      <c r="A32" s="27"/>
      <c r="B32" s="32" t="s">
        <v>107</v>
      </c>
      <c r="C32" s="33">
        <v>110280</v>
      </c>
      <c r="D32" s="2"/>
      <c r="E32" s="23">
        <v>110280</v>
      </c>
      <c r="F32" s="2"/>
      <c r="G32" s="3" t="s">
        <v>108</v>
      </c>
      <c r="H32" s="4">
        <v>145380</v>
      </c>
    </row>
    <row r="33" spans="1:8">
      <c r="A33" s="27"/>
      <c r="B33" s="97" t="s">
        <v>109</v>
      </c>
      <c r="C33" s="23">
        <v>203500</v>
      </c>
      <c r="D33" s="2"/>
      <c r="E33" s="23">
        <v>203500</v>
      </c>
      <c r="F33" s="2"/>
      <c r="G33" s="3" t="s">
        <v>110</v>
      </c>
      <c r="H33" s="127">
        <v>302500</v>
      </c>
    </row>
    <row r="34" spans="1:8">
      <c r="A34" s="27"/>
      <c r="B34" s="97" t="s">
        <v>111</v>
      </c>
      <c r="C34" s="23">
        <v>54463</v>
      </c>
      <c r="D34" s="2"/>
      <c r="E34" s="23">
        <v>54463</v>
      </c>
      <c r="F34" s="2"/>
      <c r="G34" s="2"/>
      <c r="H34" s="2">
        <f>SUM(H29:H33)</f>
        <v>6941460</v>
      </c>
    </row>
    <row r="35" spans="1:8">
      <c r="A35" s="27"/>
      <c r="B35" s="32" t="s">
        <v>95</v>
      </c>
      <c r="C35" s="33">
        <v>1351000</v>
      </c>
      <c r="D35" s="2"/>
      <c r="E35" s="23">
        <v>1351000</v>
      </c>
      <c r="F35" s="2"/>
      <c r="H35" s="2"/>
    </row>
    <row r="36" spans="1:8">
      <c r="A36" s="27"/>
      <c r="B36" s="32" t="s">
        <v>70</v>
      </c>
      <c r="C36" s="33">
        <v>66000</v>
      </c>
      <c r="D36" s="2"/>
      <c r="E36" s="23">
        <v>66000</v>
      </c>
      <c r="F36" s="2"/>
      <c r="G36" s="4" t="s">
        <v>112</v>
      </c>
      <c r="H36" s="4">
        <v>1910000</v>
      </c>
    </row>
    <row r="37" spans="1:8">
      <c r="A37" s="27"/>
      <c r="B37" s="32" t="s">
        <v>72</v>
      </c>
      <c r="C37" s="33">
        <v>477500</v>
      </c>
      <c r="D37" s="2"/>
      <c r="E37" s="23">
        <v>477500</v>
      </c>
      <c r="F37" s="2"/>
      <c r="G37" s="2"/>
      <c r="H37" s="2"/>
    </row>
    <row r="38" spans="1:8">
      <c r="A38" s="27"/>
      <c r="B38" s="32" t="s">
        <v>113</v>
      </c>
      <c r="C38" s="33">
        <v>115900</v>
      </c>
      <c r="D38" s="2"/>
      <c r="E38" s="23">
        <v>115900</v>
      </c>
      <c r="F38" s="2"/>
      <c r="G38" s="2"/>
      <c r="H38" s="2"/>
    </row>
    <row r="39" spans="1:8">
      <c r="A39" s="35"/>
      <c r="B39" s="32" t="s">
        <v>79</v>
      </c>
      <c r="C39" s="33">
        <v>102500</v>
      </c>
      <c r="D39" s="2"/>
      <c r="E39" s="23">
        <v>102500</v>
      </c>
      <c r="F39" s="2"/>
      <c r="G39" s="2"/>
      <c r="H39" s="2"/>
    </row>
    <row r="40" spans="1:8">
      <c r="A40" s="1" t="s">
        <v>114</v>
      </c>
      <c r="B40" s="32" t="s">
        <v>115</v>
      </c>
      <c r="C40" s="33">
        <v>694050</v>
      </c>
      <c r="D40" s="23">
        <v>694050</v>
      </c>
      <c r="E40" s="60">
        <f>SUM(E24:E39)</f>
        <v>3217543</v>
      </c>
      <c r="F40" s="2"/>
      <c r="G40" s="2"/>
      <c r="H40" s="2"/>
    </row>
    <row r="41" spans="1:8">
      <c r="A41" s="1"/>
      <c r="B41" s="97" t="s">
        <v>74</v>
      </c>
      <c r="C41" s="23">
        <v>100000</v>
      </c>
      <c r="D41" s="23">
        <v>100000</v>
      </c>
      <c r="E41" s="2"/>
      <c r="F41" s="2"/>
      <c r="G41" s="2"/>
      <c r="H41" s="2"/>
    </row>
    <row r="42" spans="1:8">
      <c r="A42" s="1"/>
      <c r="B42" s="32" t="s">
        <v>116</v>
      </c>
      <c r="C42" s="128">
        <v>5763740</v>
      </c>
      <c r="D42" s="125">
        <v>5763740</v>
      </c>
      <c r="E42" s="2"/>
      <c r="F42" s="2"/>
      <c r="G42" s="2"/>
      <c r="H42" s="2"/>
    </row>
    <row r="43" spans="1:8">
      <c r="A43" s="1"/>
      <c r="B43" s="32" t="s">
        <v>117</v>
      </c>
      <c r="C43" s="128"/>
      <c r="D43" s="125"/>
      <c r="E43" s="2"/>
      <c r="F43" s="2"/>
      <c r="G43" s="2"/>
      <c r="H43" s="2"/>
    </row>
    <row r="44" spans="1:8">
      <c r="A44" s="1"/>
      <c r="B44" s="32" t="s">
        <v>118</v>
      </c>
      <c r="C44" s="128"/>
      <c r="D44" s="125"/>
      <c r="E44" s="2"/>
      <c r="F44" s="2"/>
      <c r="G44" s="2"/>
      <c r="H44" s="2"/>
    </row>
    <row r="45" spans="1:8">
      <c r="A45" s="1"/>
      <c r="B45" s="32" t="s">
        <v>119</v>
      </c>
      <c r="C45" s="33">
        <v>18000</v>
      </c>
      <c r="D45" s="23">
        <v>18000</v>
      </c>
      <c r="E45" s="2"/>
      <c r="F45" s="2"/>
      <c r="G45" s="2"/>
      <c r="H45" s="2"/>
    </row>
    <row r="46" spans="1:8">
      <c r="A46" s="1"/>
      <c r="B46" s="32" t="s">
        <v>98</v>
      </c>
      <c r="C46" s="33">
        <v>372250</v>
      </c>
      <c r="D46" s="23">
        <v>372250</v>
      </c>
      <c r="E46" s="2"/>
      <c r="F46" s="2"/>
      <c r="G46" s="2"/>
      <c r="H46" s="2"/>
    </row>
    <row r="47" spans="1:8">
      <c r="A47" s="1"/>
      <c r="B47" s="97" t="s">
        <v>120</v>
      </c>
      <c r="C47" s="23">
        <v>402500</v>
      </c>
      <c r="D47" s="23">
        <v>402500</v>
      </c>
      <c r="E47" s="2"/>
      <c r="F47" s="2"/>
      <c r="G47" s="2"/>
      <c r="H47" s="2"/>
    </row>
    <row r="48" spans="1:8">
      <c r="A48" s="1"/>
      <c r="B48" s="32" t="s">
        <v>121</v>
      </c>
      <c r="C48" s="33">
        <v>33000</v>
      </c>
      <c r="D48" s="23">
        <v>33000</v>
      </c>
      <c r="E48" s="2"/>
      <c r="F48" s="2"/>
      <c r="G48" s="2"/>
      <c r="H48" s="2"/>
    </row>
    <row r="49" spans="1:8">
      <c r="A49" s="1"/>
      <c r="B49" s="32" t="s">
        <v>122</v>
      </c>
      <c r="C49" s="33">
        <v>36000</v>
      </c>
      <c r="D49" s="23">
        <v>36000</v>
      </c>
      <c r="E49" s="2"/>
      <c r="F49" s="2"/>
      <c r="G49" s="2"/>
      <c r="H49" s="2"/>
    </row>
    <row r="50" spans="1:8">
      <c r="A50" s="1"/>
      <c r="B50" s="32" t="s">
        <v>123</v>
      </c>
      <c r="C50" s="128">
        <v>573500</v>
      </c>
      <c r="D50" s="125">
        <v>573500</v>
      </c>
      <c r="E50" s="2"/>
      <c r="F50" s="2"/>
      <c r="G50" s="2"/>
      <c r="H50" s="2"/>
    </row>
    <row r="51" spans="1:8">
      <c r="A51" s="1"/>
      <c r="B51" s="32" t="s">
        <v>124</v>
      </c>
      <c r="C51" s="128"/>
      <c r="D51" s="125"/>
      <c r="E51" s="2"/>
      <c r="F51" s="2"/>
      <c r="G51" s="2"/>
      <c r="H51" s="2"/>
    </row>
    <row r="52" spans="1:8">
      <c r="A52" s="1"/>
      <c r="B52" s="32" t="s">
        <v>125</v>
      </c>
      <c r="C52" s="128"/>
      <c r="D52" s="125"/>
      <c r="E52" s="2"/>
      <c r="F52" s="2"/>
      <c r="G52" s="2"/>
      <c r="H52" s="2"/>
    </row>
    <row r="53" spans="1:8">
      <c r="A53" s="1"/>
      <c r="B53" s="32" t="s">
        <v>126</v>
      </c>
      <c r="C53" s="128"/>
      <c r="D53" s="125"/>
      <c r="E53" s="2"/>
      <c r="F53" s="2"/>
      <c r="G53" s="2"/>
      <c r="H53" s="2"/>
    </row>
    <row r="54" spans="1:8">
      <c r="A54" s="1"/>
      <c r="B54" s="32" t="s">
        <v>127</v>
      </c>
      <c r="C54" s="128"/>
      <c r="D54" s="125"/>
      <c r="E54" s="2"/>
      <c r="F54" s="2"/>
      <c r="G54" s="2"/>
      <c r="H54" s="2"/>
    </row>
    <row r="55" spans="1:8">
      <c r="A55" s="1"/>
      <c r="B55" s="32" t="s">
        <v>128</v>
      </c>
      <c r="C55" s="128"/>
      <c r="D55" s="125"/>
      <c r="E55" s="2"/>
      <c r="F55" s="2"/>
      <c r="G55" s="2"/>
      <c r="H55" s="2"/>
    </row>
    <row r="56" spans="1:8">
      <c r="A56" s="1"/>
      <c r="B56" s="32" t="s">
        <v>129</v>
      </c>
      <c r="C56" s="128"/>
      <c r="D56" s="125"/>
      <c r="E56" s="2"/>
      <c r="F56" s="2"/>
      <c r="G56" s="2"/>
      <c r="H56" s="2"/>
    </row>
    <row r="57" spans="1:8">
      <c r="A57" s="1"/>
      <c r="B57" s="32" t="s">
        <v>130</v>
      </c>
      <c r="C57" s="128"/>
      <c r="D57" s="125"/>
      <c r="E57" s="2"/>
      <c r="F57" s="2"/>
      <c r="G57" s="2"/>
      <c r="H57" s="2"/>
    </row>
    <row r="58" spans="1:8">
      <c r="A58" s="1"/>
      <c r="B58" s="32" t="s">
        <v>131</v>
      </c>
      <c r="C58" s="128"/>
      <c r="D58" s="125"/>
      <c r="E58" s="2"/>
      <c r="F58" s="2"/>
      <c r="G58" s="2"/>
      <c r="H58" s="2"/>
    </row>
    <row r="59" spans="1:8">
      <c r="A59" s="1"/>
      <c r="B59" s="32" t="s">
        <v>132</v>
      </c>
      <c r="C59" s="33">
        <v>100000</v>
      </c>
      <c r="D59" s="23">
        <v>100000</v>
      </c>
      <c r="E59" s="2"/>
      <c r="F59" s="2"/>
      <c r="G59" s="2"/>
      <c r="H59" s="2"/>
    </row>
    <row r="60" spans="1:8">
      <c r="A60" s="1"/>
      <c r="B60" s="32" t="s">
        <v>133</v>
      </c>
      <c r="C60" s="33">
        <v>64500</v>
      </c>
      <c r="D60" s="23">
        <v>64500</v>
      </c>
      <c r="E60" s="2"/>
      <c r="F60" s="2"/>
      <c r="G60" s="2"/>
      <c r="H60" s="2"/>
    </row>
    <row r="61" spans="1:8">
      <c r="A61" s="1"/>
      <c r="B61" s="32" t="s">
        <v>134</v>
      </c>
      <c r="C61" s="33">
        <v>32500</v>
      </c>
      <c r="D61" s="23">
        <v>32500</v>
      </c>
      <c r="E61" s="2"/>
      <c r="F61" s="2"/>
      <c r="G61" s="2"/>
      <c r="H61" s="2"/>
    </row>
    <row r="62" spans="1:8">
      <c r="A62" s="1" t="s">
        <v>135</v>
      </c>
      <c r="B62" s="32" t="s">
        <v>97</v>
      </c>
      <c r="C62" s="128">
        <v>177500</v>
      </c>
      <c r="D62" s="60">
        <f>SUM(D40:D61)</f>
        <v>8190040</v>
      </c>
      <c r="E62" s="125">
        <v>177500</v>
      </c>
      <c r="F62" s="2"/>
      <c r="G62" s="2"/>
      <c r="H62" s="2"/>
    </row>
    <row r="63" spans="1:8">
      <c r="A63" s="1"/>
      <c r="B63" s="32" t="s">
        <v>136</v>
      </c>
      <c r="C63" s="128"/>
      <c r="D63" s="2"/>
      <c r="E63" s="125"/>
      <c r="F63" s="2"/>
      <c r="G63" s="2"/>
      <c r="H63" s="2"/>
    </row>
    <row r="64" spans="1:8">
      <c r="A64" s="1"/>
      <c r="B64" s="32" t="s">
        <v>137</v>
      </c>
      <c r="C64" s="128"/>
      <c r="D64" s="2"/>
      <c r="E64" s="125"/>
      <c r="F64" s="2"/>
      <c r="G64" s="2"/>
      <c r="H64" s="2"/>
    </row>
    <row r="65" spans="1:8">
      <c r="A65" s="1"/>
      <c r="B65" s="97" t="s">
        <v>138</v>
      </c>
      <c r="C65" s="23">
        <v>100000</v>
      </c>
      <c r="D65" s="2"/>
      <c r="E65" s="23">
        <v>100000</v>
      </c>
      <c r="F65" s="2"/>
      <c r="G65" s="2"/>
      <c r="H65" s="2"/>
    </row>
    <row r="66" spans="1:8">
      <c r="A66" s="1"/>
      <c r="B66" s="3" t="s">
        <v>139</v>
      </c>
      <c r="C66" s="4">
        <v>7000</v>
      </c>
      <c r="D66" s="2"/>
      <c r="E66" s="4">
        <v>7000</v>
      </c>
      <c r="F66" s="2"/>
      <c r="G66" s="2"/>
      <c r="H66" s="2"/>
    </row>
    <row r="67" spans="1:8">
      <c r="A67" s="1"/>
      <c r="B67" s="47" t="s">
        <v>140</v>
      </c>
      <c r="C67" s="48">
        <v>1873000</v>
      </c>
      <c r="D67" s="2"/>
      <c r="E67" s="4">
        <v>1873000</v>
      </c>
      <c r="F67" s="2"/>
      <c r="G67" s="2"/>
      <c r="H67" s="2"/>
    </row>
    <row r="68" spans="1:8">
      <c r="A68" s="1"/>
      <c r="B68" s="47" t="s">
        <v>141</v>
      </c>
      <c r="C68" s="128">
        <v>3464500</v>
      </c>
      <c r="D68" s="2"/>
      <c r="E68" s="125">
        <v>3464500</v>
      </c>
      <c r="F68" s="2"/>
      <c r="G68" s="2"/>
      <c r="H68" s="2"/>
    </row>
    <row r="69" spans="1:8">
      <c r="A69" s="1"/>
      <c r="B69" s="47" t="s">
        <v>142</v>
      </c>
      <c r="C69" s="128"/>
      <c r="D69" s="2"/>
      <c r="E69" s="125"/>
      <c r="F69" s="2"/>
      <c r="G69" s="2"/>
      <c r="H69" s="2"/>
    </row>
    <row r="70" spans="1:8">
      <c r="A70" s="1"/>
      <c r="B70" s="47" t="s">
        <v>143</v>
      </c>
      <c r="C70" s="128"/>
      <c r="D70" s="2"/>
      <c r="E70" s="125"/>
      <c r="F70" s="2"/>
      <c r="G70" s="2"/>
      <c r="H70" s="2"/>
    </row>
    <row r="71" spans="1:8">
      <c r="A71" s="1"/>
      <c r="B71" s="47" t="s">
        <v>144</v>
      </c>
      <c r="C71" s="128"/>
      <c r="D71" s="2"/>
      <c r="E71" s="125"/>
      <c r="F71" s="2"/>
      <c r="G71" s="2"/>
      <c r="H71" s="2"/>
    </row>
    <row r="72" spans="1:8">
      <c r="A72" s="1"/>
      <c r="B72" s="47" t="s">
        <v>145</v>
      </c>
      <c r="C72" s="48">
        <v>31000</v>
      </c>
      <c r="D72" s="2"/>
      <c r="E72" s="4">
        <v>31000</v>
      </c>
      <c r="F72" s="2"/>
      <c r="G72" s="2"/>
      <c r="H72" s="2"/>
    </row>
    <row r="73" spans="1:8">
      <c r="A73" s="1"/>
      <c r="B73" s="3" t="s">
        <v>138</v>
      </c>
      <c r="C73" s="4">
        <v>100000</v>
      </c>
      <c r="D73" s="2"/>
      <c r="E73" s="4">
        <v>100000</v>
      </c>
      <c r="F73" s="2"/>
      <c r="G73" s="2"/>
      <c r="H73" s="2"/>
    </row>
    <row r="74" spans="1:8">
      <c r="A74" s="1" t="s">
        <v>146</v>
      </c>
      <c r="B74" s="47" t="s">
        <v>98</v>
      </c>
      <c r="C74" s="48">
        <v>159100</v>
      </c>
      <c r="D74" s="4">
        <v>159100</v>
      </c>
      <c r="E74" s="60">
        <f>SUM(E62:E73)</f>
        <v>5753000</v>
      </c>
      <c r="F74" s="2"/>
      <c r="G74" s="2"/>
      <c r="H74" s="2"/>
    </row>
    <row r="75" spans="1:8">
      <c r="A75" s="1"/>
      <c r="B75" s="3" t="s">
        <v>147</v>
      </c>
      <c r="C75" s="4">
        <v>127500</v>
      </c>
      <c r="D75" s="4">
        <v>127500</v>
      </c>
      <c r="E75" s="2"/>
      <c r="F75" s="2"/>
      <c r="G75" s="2"/>
      <c r="H75" s="2"/>
    </row>
    <row r="76" spans="1:8">
      <c r="A76" s="1"/>
      <c r="B76" s="47" t="s">
        <v>148</v>
      </c>
      <c r="C76" s="48">
        <v>29500</v>
      </c>
      <c r="D76" s="4">
        <v>29500</v>
      </c>
      <c r="E76" s="2"/>
      <c r="F76" s="2"/>
      <c r="G76" s="2"/>
      <c r="H76" s="2"/>
    </row>
    <row r="77" spans="1:8">
      <c r="A77" s="1"/>
      <c r="B77" s="47" t="s">
        <v>149</v>
      </c>
      <c r="C77" s="48">
        <v>311000</v>
      </c>
      <c r="D77" s="4">
        <v>311000</v>
      </c>
      <c r="E77" s="2"/>
      <c r="F77" s="2"/>
      <c r="G77" s="2"/>
      <c r="H77" s="2"/>
    </row>
    <row r="78" spans="1:8">
      <c r="A78" s="1"/>
      <c r="B78" s="47" t="s">
        <v>150</v>
      </c>
      <c r="C78" s="128">
        <v>962000</v>
      </c>
      <c r="D78" s="125">
        <v>962000</v>
      </c>
      <c r="E78" s="2"/>
      <c r="F78" s="2"/>
      <c r="G78" s="2"/>
      <c r="H78" s="2"/>
    </row>
    <row r="79" spans="1:8">
      <c r="A79" s="1"/>
      <c r="B79" s="47" t="s">
        <v>151</v>
      </c>
      <c r="C79" s="128"/>
      <c r="D79" s="125"/>
      <c r="E79" s="2"/>
      <c r="F79" s="2"/>
      <c r="G79" s="2"/>
      <c r="H79" s="2"/>
    </row>
    <row r="80" spans="1:8">
      <c r="A80" s="1"/>
      <c r="B80" s="47" t="s">
        <v>152</v>
      </c>
      <c r="C80" s="128"/>
      <c r="D80" s="125"/>
      <c r="E80" s="2"/>
      <c r="F80" s="2"/>
      <c r="G80" s="2"/>
      <c r="H80" s="2"/>
    </row>
    <row r="81" spans="1:8">
      <c r="A81" s="1"/>
      <c r="B81" s="47" t="s">
        <v>153</v>
      </c>
      <c r="C81" s="128"/>
      <c r="D81" s="125"/>
      <c r="E81" s="2"/>
      <c r="F81" s="2"/>
      <c r="G81" s="2"/>
      <c r="H81" s="2"/>
    </row>
    <row r="82" spans="1:8">
      <c r="A82" s="1"/>
      <c r="B82" s="47" t="s">
        <v>154</v>
      </c>
      <c r="C82" s="128">
        <v>6440500</v>
      </c>
      <c r="D82" s="125">
        <v>6440500</v>
      </c>
      <c r="E82" s="2"/>
      <c r="F82" s="2"/>
      <c r="G82" s="2"/>
      <c r="H82" s="2"/>
    </row>
    <row r="83" spans="1:8">
      <c r="A83" s="1"/>
      <c r="B83" s="47" t="s">
        <v>155</v>
      </c>
      <c r="C83" s="128"/>
      <c r="D83" s="125"/>
      <c r="E83" s="2"/>
      <c r="F83" s="2"/>
      <c r="G83" s="2"/>
      <c r="H83" s="2"/>
    </row>
    <row r="84" spans="1:8">
      <c r="A84" s="1"/>
      <c r="B84" s="47" t="s">
        <v>156</v>
      </c>
      <c r="C84" s="128"/>
      <c r="D84" s="125"/>
      <c r="E84" s="2"/>
      <c r="F84" s="2"/>
      <c r="G84" s="2"/>
      <c r="H84" s="2"/>
    </row>
    <row r="85" spans="1:8">
      <c r="A85" s="1"/>
      <c r="B85" s="47" t="s">
        <v>157</v>
      </c>
      <c r="C85" s="128"/>
      <c r="D85" s="125"/>
      <c r="E85" s="2"/>
      <c r="F85" s="2"/>
      <c r="G85" s="2"/>
      <c r="H85" s="2"/>
    </row>
    <row r="86" spans="1:8">
      <c r="A86" s="1"/>
      <c r="B86" s="47" t="s">
        <v>158</v>
      </c>
      <c r="C86" s="128"/>
      <c r="D86" s="125"/>
      <c r="E86" s="2"/>
      <c r="F86" s="2"/>
      <c r="G86" s="2"/>
      <c r="H86" s="2"/>
    </row>
    <row r="87" spans="1:8">
      <c r="A87" s="1"/>
      <c r="B87" s="47" t="s">
        <v>159</v>
      </c>
      <c r="C87" s="128"/>
      <c r="D87" s="125"/>
      <c r="E87" s="2"/>
      <c r="F87" s="2"/>
      <c r="G87" s="2"/>
      <c r="H87" s="2"/>
    </row>
    <row r="88" spans="1:8">
      <c r="A88" s="1"/>
      <c r="B88" s="47" t="s">
        <v>160</v>
      </c>
      <c r="C88" s="128"/>
      <c r="D88" s="125"/>
      <c r="E88" s="2"/>
      <c r="F88" s="2"/>
      <c r="G88" s="2"/>
      <c r="H88" s="2"/>
    </row>
    <row r="89" spans="1:8">
      <c r="A89" s="1"/>
      <c r="B89" s="47" t="s">
        <v>161</v>
      </c>
      <c r="C89" s="128"/>
      <c r="D89" s="125"/>
      <c r="E89" s="2"/>
      <c r="F89" s="2"/>
      <c r="G89" s="2"/>
      <c r="H89" s="2"/>
    </row>
    <row r="90" spans="1:8">
      <c r="A90" s="1"/>
      <c r="B90" s="47" t="s">
        <v>162</v>
      </c>
      <c r="C90" s="128"/>
      <c r="D90" s="125"/>
      <c r="E90" s="2"/>
      <c r="F90" s="2"/>
      <c r="G90" s="2"/>
      <c r="H90" s="2"/>
    </row>
    <row r="91" spans="1:8">
      <c r="A91" s="1"/>
      <c r="B91" s="47" t="s">
        <v>163</v>
      </c>
      <c r="C91" s="128"/>
      <c r="D91" s="125"/>
      <c r="E91" s="2"/>
      <c r="F91" s="2"/>
      <c r="G91" s="2"/>
      <c r="H91" s="2"/>
    </row>
    <row r="92" spans="1:8">
      <c r="A92" s="1"/>
      <c r="B92" s="3" t="s">
        <v>109</v>
      </c>
      <c r="C92" s="4">
        <v>53500</v>
      </c>
      <c r="D92" s="4">
        <v>53500</v>
      </c>
      <c r="E92" s="2"/>
      <c r="F92" s="2"/>
      <c r="G92" s="2"/>
      <c r="H92" s="2"/>
    </row>
    <row r="93" spans="1:8">
      <c r="A93" s="1"/>
      <c r="B93" s="3" t="s">
        <v>164</v>
      </c>
      <c r="C93" s="4">
        <v>53500</v>
      </c>
      <c r="D93" s="4">
        <v>53500</v>
      </c>
      <c r="E93" s="2"/>
      <c r="F93" s="2"/>
      <c r="G93" s="2"/>
      <c r="H93" s="2"/>
    </row>
    <row r="94" spans="1:8">
      <c r="A94" s="1"/>
      <c r="B94" s="47" t="s">
        <v>97</v>
      </c>
      <c r="C94" s="128">
        <v>224500</v>
      </c>
      <c r="D94" s="125">
        <v>224500</v>
      </c>
      <c r="E94" s="2"/>
      <c r="F94" s="2"/>
      <c r="G94" s="2"/>
      <c r="H94" s="2"/>
    </row>
    <row r="95" spans="1:8">
      <c r="A95" s="1"/>
      <c r="B95" s="47" t="s">
        <v>165</v>
      </c>
      <c r="C95" s="128"/>
      <c r="D95" s="125"/>
      <c r="E95" s="2"/>
      <c r="F95" s="2"/>
      <c r="G95" s="2"/>
      <c r="H95" s="2"/>
    </row>
    <row r="96" spans="1:8">
      <c r="A96" s="1"/>
      <c r="B96" s="47" t="s">
        <v>166</v>
      </c>
      <c r="C96" s="128"/>
      <c r="D96" s="125"/>
      <c r="E96" s="2"/>
      <c r="F96" s="2"/>
      <c r="G96" s="2"/>
      <c r="H96" s="2"/>
    </row>
    <row r="97" spans="1:8">
      <c r="A97" s="1"/>
      <c r="B97" s="47" t="s">
        <v>167</v>
      </c>
      <c r="C97" s="128"/>
      <c r="D97" s="125"/>
      <c r="E97" s="2"/>
      <c r="F97" s="2"/>
      <c r="G97" s="2"/>
      <c r="H97" s="2"/>
    </row>
    <row r="98" spans="1:8">
      <c r="A98" s="1"/>
      <c r="B98" s="47" t="s">
        <v>168</v>
      </c>
      <c r="C98" s="128"/>
      <c r="D98" s="125"/>
      <c r="E98" s="2"/>
      <c r="F98" s="2"/>
      <c r="G98" s="2"/>
      <c r="H98" s="2"/>
    </row>
    <row r="99" spans="1:8">
      <c r="A99" s="1"/>
      <c r="B99" s="47" t="s">
        <v>169</v>
      </c>
      <c r="C99" s="128"/>
      <c r="D99" s="125"/>
      <c r="E99" s="2"/>
      <c r="F99" s="2"/>
      <c r="G99" s="2"/>
      <c r="H99" s="2"/>
    </row>
    <row r="100" spans="1:8">
      <c r="A100" s="1" t="s">
        <v>170</v>
      </c>
      <c r="B100" s="3" t="s">
        <v>171</v>
      </c>
      <c r="C100" s="4">
        <v>65000</v>
      </c>
      <c r="D100" s="60">
        <f>SUM(D74:D99)</f>
        <v>8361100</v>
      </c>
      <c r="E100" s="4">
        <v>65000</v>
      </c>
      <c r="F100" s="2"/>
      <c r="G100" s="2"/>
      <c r="H100" s="2"/>
    </row>
    <row r="101" spans="1:8">
      <c r="A101" s="1"/>
      <c r="B101" s="47" t="s">
        <v>172</v>
      </c>
      <c r="C101" s="48">
        <v>11000</v>
      </c>
      <c r="D101" s="2"/>
      <c r="E101" s="4">
        <v>11000</v>
      </c>
      <c r="F101" s="2"/>
      <c r="G101" s="2"/>
      <c r="H101" s="2"/>
    </row>
    <row r="102" spans="1:8">
      <c r="A102" s="1"/>
      <c r="B102" s="47" t="s">
        <v>173</v>
      </c>
      <c r="C102" s="48">
        <v>71700</v>
      </c>
      <c r="D102" s="2"/>
      <c r="E102" s="4">
        <v>71700</v>
      </c>
      <c r="F102" s="2"/>
      <c r="G102" s="2"/>
      <c r="H102" s="2"/>
    </row>
    <row r="103" spans="1:8">
      <c r="A103" s="1"/>
      <c r="B103" s="47" t="s">
        <v>174</v>
      </c>
      <c r="C103" s="48">
        <v>56500</v>
      </c>
      <c r="D103" s="2"/>
      <c r="E103" s="4">
        <v>56500</v>
      </c>
      <c r="F103" s="2"/>
      <c r="G103" s="2"/>
      <c r="H103" s="2"/>
    </row>
    <row r="104" spans="1:8">
      <c r="A104" s="1"/>
      <c r="B104" s="47" t="s">
        <v>74</v>
      </c>
      <c r="C104" s="48">
        <v>100000</v>
      </c>
      <c r="D104" s="2"/>
      <c r="E104" s="4">
        <v>100000</v>
      </c>
      <c r="F104" s="2"/>
      <c r="G104" s="2"/>
      <c r="H104" s="2"/>
    </row>
    <row r="105" spans="1:8">
      <c r="A105" s="1"/>
      <c r="B105" s="47" t="s">
        <v>175</v>
      </c>
      <c r="C105" s="48">
        <v>935000</v>
      </c>
      <c r="D105" s="2"/>
      <c r="E105" s="4">
        <v>935000</v>
      </c>
      <c r="F105" s="2"/>
      <c r="G105" s="2"/>
      <c r="H105" s="2"/>
    </row>
    <row r="106" spans="1:8">
      <c r="A106" s="20" t="s">
        <v>176</v>
      </c>
      <c r="B106" s="3" t="s">
        <v>177</v>
      </c>
      <c r="C106" s="4">
        <v>1352500</v>
      </c>
      <c r="D106" s="4">
        <v>1352500</v>
      </c>
      <c r="E106" s="60">
        <f>SUM(E100:E105)</f>
        <v>1239200</v>
      </c>
      <c r="F106" s="2"/>
      <c r="G106" s="2"/>
      <c r="H106" s="2"/>
    </row>
    <row r="107" spans="1:8">
      <c r="A107" s="27"/>
      <c r="B107" s="47" t="s">
        <v>178</v>
      </c>
      <c r="C107" s="128">
        <v>1879500</v>
      </c>
      <c r="D107" s="125">
        <v>1879500</v>
      </c>
      <c r="E107" s="2"/>
      <c r="F107" s="2"/>
      <c r="G107" s="2"/>
      <c r="H107" s="2"/>
    </row>
    <row r="108" spans="1:8">
      <c r="A108" s="27"/>
      <c r="B108" s="47" t="s">
        <v>179</v>
      </c>
      <c r="C108" s="128"/>
      <c r="D108" s="125"/>
      <c r="E108" s="2"/>
      <c r="F108" s="2"/>
      <c r="G108" s="2"/>
      <c r="H108" s="2"/>
    </row>
    <row r="109" spans="1:8">
      <c r="A109" s="27"/>
      <c r="B109" s="47" t="s">
        <v>180</v>
      </c>
      <c r="C109" s="128"/>
      <c r="D109" s="125"/>
      <c r="E109" s="2"/>
      <c r="F109" s="2"/>
      <c r="G109" s="2"/>
      <c r="H109" s="2"/>
    </row>
    <row r="110" spans="1:8">
      <c r="A110" s="27"/>
      <c r="B110" s="47" t="s">
        <v>181</v>
      </c>
      <c r="C110" s="128"/>
      <c r="D110" s="125"/>
      <c r="E110" s="2"/>
      <c r="F110" s="2"/>
      <c r="G110" s="2"/>
      <c r="H110" s="2"/>
    </row>
    <row r="111" spans="1:8">
      <c r="A111" s="27"/>
      <c r="B111" s="47" t="s">
        <v>182</v>
      </c>
      <c r="C111" s="128"/>
      <c r="D111" s="125"/>
      <c r="E111" s="2"/>
      <c r="F111" s="2"/>
      <c r="G111" s="2"/>
      <c r="H111" s="2"/>
    </row>
    <row r="112" spans="1:8">
      <c r="A112" s="27"/>
      <c r="B112" s="3" t="s">
        <v>138</v>
      </c>
      <c r="C112" s="4">
        <v>31000</v>
      </c>
      <c r="D112" s="4">
        <v>31000</v>
      </c>
      <c r="E112" s="126"/>
      <c r="F112" s="2"/>
      <c r="G112" s="2"/>
      <c r="H112" s="2"/>
    </row>
    <row r="113" spans="1:8">
      <c r="A113" s="27"/>
      <c r="B113" s="47" t="s">
        <v>183</v>
      </c>
      <c r="C113" s="48">
        <v>156600</v>
      </c>
      <c r="D113" s="4">
        <v>156600</v>
      </c>
      <c r="E113" s="2"/>
      <c r="F113" s="2"/>
      <c r="G113" s="2"/>
      <c r="H113" s="2"/>
    </row>
    <row r="114" spans="1:8">
      <c r="A114" s="27"/>
      <c r="B114" s="47" t="s">
        <v>116</v>
      </c>
      <c r="C114" s="128">
        <v>6471080</v>
      </c>
      <c r="D114" s="125">
        <v>6471080</v>
      </c>
      <c r="E114" s="2"/>
      <c r="F114" s="2"/>
      <c r="G114" s="2"/>
      <c r="H114" s="2"/>
    </row>
    <row r="115" spans="1:8">
      <c r="A115" s="27"/>
      <c r="B115" s="47" t="s">
        <v>184</v>
      </c>
      <c r="C115" s="128"/>
      <c r="D115" s="125"/>
      <c r="E115" s="2"/>
      <c r="F115" s="2"/>
      <c r="G115" s="2"/>
      <c r="H115" s="2"/>
    </row>
    <row r="116" spans="1:8">
      <c r="A116" s="27"/>
      <c r="B116" s="47" t="s">
        <v>185</v>
      </c>
      <c r="C116" s="128"/>
      <c r="D116" s="125"/>
      <c r="E116" s="2"/>
      <c r="F116" s="2"/>
      <c r="G116" s="2"/>
      <c r="H116" s="2"/>
    </row>
    <row r="117" spans="1:8">
      <c r="A117" s="27"/>
      <c r="B117" s="47" t="s">
        <v>186</v>
      </c>
      <c r="C117" s="128">
        <v>182500</v>
      </c>
      <c r="D117" s="125">
        <v>182500</v>
      </c>
      <c r="E117" s="2"/>
      <c r="F117" s="2"/>
      <c r="G117" s="2"/>
      <c r="H117" s="2"/>
    </row>
    <row r="118" spans="1:8">
      <c r="A118" s="27"/>
      <c r="B118" s="47" t="s">
        <v>187</v>
      </c>
      <c r="C118" s="128"/>
      <c r="D118" s="125"/>
      <c r="E118" s="2"/>
      <c r="F118" s="2"/>
      <c r="G118" s="2"/>
      <c r="H118" s="2"/>
    </row>
    <row r="119" spans="1:8">
      <c r="A119" s="35"/>
      <c r="B119" s="47" t="s">
        <v>188</v>
      </c>
      <c r="C119" s="128"/>
      <c r="D119" s="125"/>
      <c r="E119" s="2"/>
      <c r="F119" s="2"/>
      <c r="G119" s="2"/>
      <c r="H119" s="2"/>
    </row>
    <row r="120" spans="1:8">
      <c r="A120" s="1" t="s">
        <v>189</v>
      </c>
      <c r="B120" s="47" t="s">
        <v>190</v>
      </c>
      <c r="C120" s="48">
        <v>826600</v>
      </c>
      <c r="D120" s="60">
        <f>SUM(D106:D119)</f>
        <v>10073180</v>
      </c>
      <c r="E120" s="4">
        <v>826600</v>
      </c>
      <c r="F120" s="2"/>
      <c r="G120" s="2"/>
      <c r="H120" s="2"/>
    </row>
    <row r="121" spans="1:8">
      <c r="A121" s="1"/>
      <c r="B121" s="47" t="s">
        <v>191</v>
      </c>
      <c r="C121" s="48">
        <v>31000</v>
      </c>
      <c r="D121" s="2"/>
      <c r="E121" s="4">
        <v>31000</v>
      </c>
      <c r="F121" s="2"/>
      <c r="G121" s="2"/>
      <c r="H121" s="2"/>
    </row>
    <row r="122" spans="1:8">
      <c r="A122" s="1"/>
      <c r="B122" s="3" t="s">
        <v>74</v>
      </c>
      <c r="C122" s="4">
        <v>100000</v>
      </c>
      <c r="D122" s="2"/>
      <c r="E122" s="4">
        <v>100000</v>
      </c>
      <c r="F122" s="2"/>
      <c r="G122" s="2"/>
      <c r="H122" s="2"/>
    </row>
    <row r="123" spans="1:8">
      <c r="A123" s="1"/>
      <c r="B123" s="47" t="s">
        <v>192</v>
      </c>
      <c r="C123" s="48">
        <v>209000</v>
      </c>
      <c r="D123" s="2"/>
      <c r="E123" s="4">
        <v>209000</v>
      </c>
      <c r="F123" s="2"/>
      <c r="G123" s="2"/>
      <c r="H123" s="2"/>
    </row>
    <row r="124" spans="1:8">
      <c r="A124" s="1"/>
      <c r="B124" s="3" t="s">
        <v>193</v>
      </c>
      <c r="C124" s="4">
        <v>202500</v>
      </c>
      <c r="D124" s="2"/>
      <c r="E124" s="4">
        <v>202500</v>
      </c>
      <c r="F124" s="2"/>
      <c r="G124" s="2"/>
      <c r="H124" s="2"/>
    </row>
    <row r="125" spans="1:8">
      <c r="A125" s="1"/>
      <c r="B125" s="3" t="s">
        <v>194</v>
      </c>
      <c r="C125" s="4">
        <v>137575</v>
      </c>
      <c r="D125" s="2"/>
      <c r="E125" s="4">
        <v>137575</v>
      </c>
      <c r="F125" s="2"/>
      <c r="G125" s="2"/>
      <c r="H125" s="2"/>
    </row>
    <row r="126" spans="1:8">
      <c r="A126" s="1"/>
      <c r="B126" s="47" t="s">
        <v>148</v>
      </c>
      <c r="C126" s="48">
        <v>237400</v>
      </c>
      <c r="D126" s="2"/>
      <c r="E126" s="4">
        <v>237400</v>
      </c>
      <c r="F126" s="2"/>
      <c r="G126" s="2"/>
      <c r="H126" s="2"/>
    </row>
    <row r="127" spans="1:8">
      <c r="A127" s="1"/>
      <c r="B127" s="3" t="s">
        <v>120</v>
      </c>
      <c r="C127" s="4">
        <v>402500</v>
      </c>
      <c r="D127" s="2"/>
      <c r="E127" s="4">
        <v>402500</v>
      </c>
      <c r="F127" s="2"/>
      <c r="G127" s="2"/>
      <c r="H127" s="2"/>
    </row>
    <row r="128" spans="1:8">
      <c r="A128" s="1" t="s">
        <v>195</v>
      </c>
      <c r="B128" s="3" t="s">
        <v>109</v>
      </c>
      <c r="C128" s="4">
        <v>203500</v>
      </c>
      <c r="D128" s="4">
        <v>203500</v>
      </c>
      <c r="E128" s="60">
        <f>SUM(E120:E127)</f>
        <v>2146575</v>
      </c>
      <c r="F128" s="2"/>
      <c r="G128" s="2"/>
      <c r="H128" s="2"/>
    </row>
    <row r="129" spans="1:8">
      <c r="A129" s="1"/>
      <c r="B129" s="47" t="s">
        <v>196</v>
      </c>
      <c r="C129" s="128">
        <v>3933000</v>
      </c>
      <c r="D129" s="125">
        <v>3933000</v>
      </c>
      <c r="E129" s="2"/>
      <c r="F129" s="2"/>
      <c r="G129" s="2"/>
      <c r="H129" s="2"/>
    </row>
    <row r="130" spans="1:8">
      <c r="A130" s="1"/>
      <c r="B130" s="47" t="s">
        <v>197</v>
      </c>
      <c r="C130" s="128"/>
      <c r="D130" s="125"/>
      <c r="E130" s="2"/>
      <c r="F130" s="2"/>
      <c r="G130" s="2"/>
      <c r="H130" s="2"/>
    </row>
    <row r="131" spans="1:8">
      <c r="A131" s="1"/>
      <c r="B131" s="47" t="s">
        <v>198</v>
      </c>
      <c r="C131" s="128"/>
      <c r="D131" s="125"/>
      <c r="E131" s="2"/>
      <c r="F131" s="2"/>
      <c r="G131" s="2"/>
      <c r="H131" s="2"/>
    </row>
    <row r="132" spans="1:8">
      <c r="A132" s="1"/>
      <c r="B132" s="47" t="s">
        <v>199</v>
      </c>
      <c r="C132" s="48">
        <v>111000</v>
      </c>
      <c r="D132" s="4">
        <v>111000</v>
      </c>
      <c r="E132" s="2"/>
      <c r="F132" s="2"/>
      <c r="G132" s="2"/>
      <c r="H132" s="2"/>
    </row>
    <row r="133" spans="1:8">
      <c r="A133" s="1"/>
      <c r="B133" s="47" t="s">
        <v>200</v>
      </c>
      <c r="C133" s="48">
        <v>57700</v>
      </c>
      <c r="D133" s="4">
        <v>57700</v>
      </c>
      <c r="E133" s="2"/>
      <c r="F133" s="2"/>
      <c r="G133" s="2"/>
      <c r="H133" s="2"/>
    </row>
    <row r="134" spans="1:8">
      <c r="A134" s="1"/>
      <c r="B134" s="47" t="s">
        <v>201</v>
      </c>
      <c r="C134" s="48">
        <v>2273500</v>
      </c>
      <c r="D134" s="4">
        <v>2273500</v>
      </c>
      <c r="E134" s="2"/>
      <c r="F134" s="2"/>
      <c r="G134" s="2"/>
      <c r="H134" s="2"/>
    </row>
    <row r="135" spans="1:8">
      <c r="A135" s="1"/>
      <c r="B135" s="3" t="s">
        <v>74</v>
      </c>
      <c r="C135" s="4">
        <v>100000</v>
      </c>
      <c r="D135" s="4">
        <v>100000</v>
      </c>
      <c r="E135" s="2"/>
      <c r="F135" s="2"/>
      <c r="G135" s="2"/>
      <c r="H135" s="2"/>
    </row>
    <row r="136" spans="1:8">
      <c r="A136" s="1"/>
      <c r="B136" s="47" t="s">
        <v>202</v>
      </c>
      <c r="C136" s="48">
        <v>15600</v>
      </c>
      <c r="D136" s="4">
        <v>15600</v>
      </c>
      <c r="E136" s="2"/>
      <c r="F136" s="2"/>
      <c r="G136" s="2"/>
      <c r="H136" s="2"/>
    </row>
    <row r="137" spans="1:8">
      <c r="A137" s="1"/>
      <c r="B137" s="3" t="s">
        <v>203</v>
      </c>
      <c r="C137" s="4">
        <v>281050</v>
      </c>
      <c r="D137" s="4">
        <v>281050</v>
      </c>
      <c r="E137" s="2"/>
      <c r="F137" s="2"/>
      <c r="G137" s="2"/>
      <c r="H137" s="2"/>
    </row>
    <row r="138" spans="1:8">
      <c r="A138" s="1"/>
      <c r="B138" s="47" t="s">
        <v>204</v>
      </c>
      <c r="C138" s="48">
        <v>337900</v>
      </c>
      <c r="D138" s="4">
        <v>337900</v>
      </c>
      <c r="E138" s="2"/>
      <c r="F138" s="2"/>
      <c r="G138" s="2"/>
      <c r="H138" s="2"/>
    </row>
    <row r="139" spans="1:8">
      <c r="A139" s="1"/>
      <c r="B139" s="3" t="s">
        <v>74</v>
      </c>
      <c r="C139" s="4">
        <v>100000</v>
      </c>
      <c r="D139" s="4">
        <v>100000</v>
      </c>
      <c r="E139" s="2"/>
      <c r="F139" s="2"/>
      <c r="G139" s="2"/>
      <c r="H139" s="2"/>
    </row>
    <row r="140" spans="1:8">
      <c r="A140" s="1"/>
      <c r="B140" s="47" t="s">
        <v>97</v>
      </c>
      <c r="C140" s="128">
        <v>152500</v>
      </c>
      <c r="D140" s="125">
        <v>152500</v>
      </c>
      <c r="E140" s="2"/>
      <c r="F140" s="2"/>
      <c r="G140" s="2"/>
      <c r="H140" s="2"/>
    </row>
    <row r="141" spans="1:8">
      <c r="A141" s="1"/>
      <c r="B141" s="47" t="s">
        <v>205</v>
      </c>
      <c r="C141" s="128"/>
      <c r="D141" s="125"/>
      <c r="E141" s="2"/>
      <c r="F141" s="2"/>
      <c r="G141" s="2"/>
      <c r="H141" s="2"/>
    </row>
    <row r="142" spans="1:8">
      <c r="A142" s="1"/>
      <c r="B142" s="47" t="s">
        <v>206</v>
      </c>
      <c r="C142" s="128"/>
      <c r="D142" s="125"/>
      <c r="E142" s="2"/>
      <c r="F142" s="2"/>
      <c r="G142" s="2"/>
      <c r="H142" s="2"/>
    </row>
    <row r="143" spans="1:8">
      <c r="A143" s="1"/>
      <c r="B143" s="47" t="s">
        <v>207</v>
      </c>
      <c r="C143" s="48">
        <v>53000</v>
      </c>
      <c r="D143" s="4">
        <v>53000</v>
      </c>
      <c r="E143" s="2"/>
      <c r="F143" s="2"/>
      <c r="G143" s="2"/>
      <c r="H143" s="2"/>
    </row>
    <row r="144" spans="1:8">
      <c r="A144" s="1" t="s">
        <v>208</v>
      </c>
      <c r="B144" s="3" t="s">
        <v>209</v>
      </c>
      <c r="C144" s="4">
        <v>33800</v>
      </c>
      <c r="D144" s="60">
        <f>SUM(D128:D143)</f>
        <v>7618750</v>
      </c>
      <c r="E144" s="4">
        <v>33800</v>
      </c>
      <c r="F144" s="2"/>
      <c r="G144" s="2"/>
      <c r="H144" s="2"/>
    </row>
    <row r="145" spans="1:8">
      <c r="A145" s="1"/>
      <c r="B145" s="47" t="s">
        <v>84</v>
      </c>
      <c r="C145" s="128">
        <v>102160</v>
      </c>
      <c r="D145" s="2"/>
      <c r="E145" s="125">
        <v>102160</v>
      </c>
      <c r="F145" s="2"/>
      <c r="G145" s="2"/>
      <c r="H145" s="2"/>
    </row>
    <row r="146" spans="1:8">
      <c r="A146" s="1"/>
      <c r="B146" s="47" t="s">
        <v>210</v>
      </c>
      <c r="C146" s="128"/>
      <c r="D146" s="2"/>
      <c r="E146" s="125"/>
      <c r="F146" s="2"/>
      <c r="G146" s="2"/>
      <c r="H146" s="2"/>
    </row>
    <row r="147" spans="1:8">
      <c r="A147" s="1"/>
      <c r="B147" s="47" t="s">
        <v>211</v>
      </c>
      <c r="C147" s="128"/>
      <c r="D147" s="2"/>
      <c r="E147" s="125"/>
      <c r="F147" s="2"/>
      <c r="G147" s="2"/>
      <c r="H147" s="2"/>
    </row>
    <row r="148" spans="1:8">
      <c r="A148" s="1"/>
      <c r="B148" s="47" t="s">
        <v>212</v>
      </c>
      <c r="C148" s="128"/>
      <c r="D148" s="2"/>
      <c r="E148" s="125"/>
      <c r="F148" s="2"/>
      <c r="G148" s="2"/>
      <c r="H148" s="2"/>
    </row>
    <row r="149" spans="1:8">
      <c r="A149" s="1"/>
      <c r="B149" s="129" t="s">
        <v>213</v>
      </c>
      <c r="C149" s="130">
        <v>41900</v>
      </c>
      <c r="D149" s="2"/>
      <c r="E149" s="4">
        <v>41900</v>
      </c>
      <c r="F149" s="2"/>
      <c r="G149" s="2"/>
      <c r="H149" s="2"/>
    </row>
    <row r="150" spans="1:8">
      <c r="A150" s="1"/>
      <c r="B150" s="47" t="s">
        <v>214</v>
      </c>
      <c r="C150" s="48">
        <v>24500</v>
      </c>
      <c r="D150" s="2"/>
      <c r="E150" s="4">
        <v>24500</v>
      </c>
      <c r="F150" s="2"/>
      <c r="G150" s="2"/>
      <c r="H150" s="2"/>
    </row>
    <row r="151" spans="1:8">
      <c r="A151" s="1" t="s">
        <v>215</v>
      </c>
      <c r="B151" s="3" t="s">
        <v>216</v>
      </c>
      <c r="C151" s="4">
        <v>151000</v>
      </c>
      <c r="D151" s="4">
        <v>151000</v>
      </c>
      <c r="E151" s="60">
        <f>SUM(E144:E150)</f>
        <v>202360</v>
      </c>
      <c r="F151" s="2"/>
      <c r="G151" s="2"/>
      <c r="H151" s="2"/>
    </row>
    <row r="152" spans="1:8">
      <c r="A152" s="1"/>
      <c r="B152" s="3" t="s">
        <v>217</v>
      </c>
      <c r="C152" s="4">
        <v>100000</v>
      </c>
      <c r="D152" s="4">
        <v>100000</v>
      </c>
      <c r="E152" s="2"/>
      <c r="F152" s="2"/>
      <c r="G152" s="2"/>
      <c r="H152" s="2"/>
    </row>
    <row r="153" spans="1:8">
      <c r="A153" s="1"/>
      <c r="B153" s="3" t="s">
        <v>218</v>
      </c>
      <c r="C153" s="4">
        <v>70000</v>
      </c>
      <c r="D153" s="4">
        <v>70000</v>
      </c>
      <c r="E153" s="2"/>
      <c r="F153" s="2"/>
      <c r="G153" s="2"/>
      <c r="H153" s="2"/>
    </row>
    <row r="154" spans="1:8">
      <c r="A154" s="1"/>
      <c r="B154" s="47" t="s">
        <v>76</v>
      </c>
      <c r="C154" s="128">
        <v>4964150</v>
      </c>
      <c r="D154" s="125">
        <v>4964150</v>
      </c>
      <c r="E154" s="2"/>
      <c r="F154" s="2"/>
      <c r="G154" s="2"/>
      <c r="H154" s="2"/>
    </row>
    <row r="155" spans="1:8">
      <c r="A155" s="1"/>
      <c r="B155" s="47" t="s">
        <v>219</v>
      </c>
      <c r="C155" s="128"/>
      <c r="D155" s="125"/>
      <c r="E155" s="2"/>
      <c r="F155" s="2"/>
      <c r="G155" s="2"/>
      <c r="H155" s="2"/>
    </row>
    <row r="156" spans="1:8">
      <c r="A156" s="1"/>
      <c r="B156" s="47" t="s">
        <v>220</v>
      </c>
      <c r="C156" s="128"/>
      <c r="D156" s="125"/>
      <c r="E156" s="2"/>
      <c r="F156" s="2"/>
      <c r="G156" s="2"/>
      <c r="H156" s="2"/>
    </row>
    <row r="157" spans="1:8">
      <c r="A157" s="1"/>
      <c r="B157" s="47" t="s">
        <v>221</v>
      </c>
      <c r="C157" s="128"/>
      <c r="D157" s="125"/>
      <c r="E157" s="2"/>
      <c r="F157" s="2"/>
      <c r="G157" s="2"/>
      <c r="H157" s="2"/>
    </row>
    <row r="158" spans="1:8">
      <c r="A158" s="1"/>
      <c r="B158" s="3" t="s">
        <v>222</v>
      </c>
      <c r="C158" s="4">
        <v>162000</v>
      </c>
      <c r="D158" s="4">
        <v>162000</v>
      </c>
      <c r="E158" s="2"/>
      <c r="F158" s="2"/>
      <c r="G158" s="2"/>
      <c r="H158" s="2"/>
    </row>
    <row r="159" spans="1:8">
      <c r="A159" s="1"/>
      <c r="B159" s="3" t="s">
        <v>223</v>
      </c>
      <c r="C159" s="4">
        <v>161000</v>
      </c>
      <c r="D159" s="4">
        <v>161000</v>
      </c>
      <c r="E159" s="2"/>
      <c r="F159" s="2"/>
      <c r="G159" s="2"/>
      <c r="H159" s="2"/>
    </row>
    <row r="160" spans="1:8">
      <c r="A160" s="1"/>
      <c r="B160" s="47" t="s">
        <v>224</v>
      </c>
      <c r="C160" s="48">
        <v>217000</v>
      </c>
      <c r="D160" s="4">
        <v>217000</v>
      </c>
      <c r="E160" s="2"/>
      <c r="F160" s="2"/>
      <c r="G160" s="2"/>
      <c r="H160" s="2"/>
    </row>
    <row r="161" spans="1:10">
      <c r="A161" s="1"/>
      <c r="B161" s="3" t="s">
        <v>225</v>
      </c>
      <c r="C161" s="4">
        <v>120000</v>
      </c>
      <c r="D161" s="4">
        <v>120000</v>
      </c>
      <c r="E161" s="2"/>
      <c r="F161" s="2"/>
      <c r="G161" s="2"/>
      <c r="H161" s="2"/>
    </row>
    <row r="162" spans="1:10">
      <c r="A162" s="1"/>
      <c r="B162" s="47" t="s">
        <v>226</v>
      </c>
      <c r="C162" s="128">
        <v>2364500</v>
      </c>
      <c r="D162" s="125">
        <v>2364500</v>
      </c>
      <c r="E162" s="2"/>
      <c r="F162" s="2"/>
      <c r="G162" s="2"/>
      <c r="H162" s="2"/>
    </row>
    <row r="163" spans="1:10">
      <c r="A163" s="1"/>
      <c r="B163" s="47" t="s">
        <v>227</v>
      </c>
      <c r="C163" s="128"/>
      <c r="D163" s="125"/>
      <c r="E163" s="2"/>
      <c r="F163" s="2"/>
      <c r="G163" s="2"/>
      <c r="H163" s="2"/>
    </row>
    <row r="164" spans="1:10">
      <c r="A164" s="1"/>
      <c r="B164" s="47" t="s">
        <v>228</v>
      </c>
      <c r="C164" s="128"/>
      <c r="D164" s="125"/>
      <c r="E164" s="2"/>
      <c r="F164" s="2"/>
      <c r="G164" s="2"/>
      <c r="H164" s="2"/>
    </row>
    <row r="165" spans="1:10">
      <c r="A165" s="1"/>
      <c r="B165" s="47" t="s">
        <v>229</v>
      </c>
      <c r="C165" s="128"/>
      <c r="D165" s="125"/>
      <c r="E165" s="2"/>
      <c r="F165" s="2"/>
      <c r="G165" s="2"/>
      <c r="H165" s="2"/>
    </row>
    <row r="166" spans="1:10">
      <c r="A166" s="1"/>
      <c r="B166" s="47" t="s">
        <v>116</v>
      </c>
      <c r="C166" s="128">
        <v>1677700</v>
      </c>
      <c r="D166" s="125">
        <v>1677700</v>
      </c>
      <c r="E166" s="2"/>
      <c r="F166" s="2"/>
      <c r="G166" s="2"/>
      <c r="H166" s="2"/>
    </row>
    <row r="167" spans="1:10">
      <c r="A167" s="1"/>
      <c r="B167" s="47" t="s">
        <v>230</v>
      </c>
      <c r="C167" s="128"/>
      <c r="D167" s="125"/>
      <c r="E167" s="2"/>
      <c r="F167" s="2"/>
      <c r="G167" s="2"/>
      <c r="H167" s="2"/>
    </row>
    <row r="168" spans="1:10">
      <c r="A168" s="1"/>
      <c r="B168" s="47" t="s">
        <v>231</v>
      </c>
      <c r="C168" s="128"/>
      <c r="D168" s="125"/>
      <c r="E168" s="2"/>
      <c r="F168" s="2"/>
      <c r="G168" s="2"/>
      <c r="H168" s="2"/>
    </row>
    <row r="169" spans="1:10">
      <c r="A169" s="1"/>
      <c r="B169" s="47" t="s">
        <v>232</v>
      </c>
      <c r="C169" s="128"/>
      <c r="D169" s="125"/>
      <c r="E169" s="2"/>
      <c r="F169" s="2"/>
      <c r="G169" s="2"/>
      <c r="H169" s="2"/>
    </row>
    <row r="170" spans="1:10">
      <c r="A170" s="1"/>
      <c r="B170" s="3" t="s">
        <v>74</v>
      </c>
      <c r="C170" s="4">
        <v>100000</v>
      </c>
      <c r="D170" s="4">
        <v>100000</v>
      </c>
      <c r="E170" s="2"/>
      <c r="F170" s="2"/>
      <c r="G170" s="2"/>
      <c r="H170" s="2"/>
    </row>
    <row r="171" spans="1:10">
      <c r="A171" s="1"/>
      <c r="B171" s="3" t="s">
        <v>233</v>
      </c>
      <c r="C171" s="4">
        <v>152500</v>
      </c>
      <c r="D171" s="4">
        <v>152500</v>
      </c>
      <c r="E171" s="2"/>
      <c r="F171" s="2"/>
      <c r="G171" s="2"/>
      <c r="H171" s="2"/>
    </row>
    <row r="172" spans="1:10">
      <c r="A172" s="1"/>
      <c r="B172" s="47" t="s">
        <v>123</v>
      </c>
      <c r="C172" s="128">
        <v>562500</v>
      </c>
      <c r="D172" s="125">
        <v>562500</v>
      </c>
      <c r="E172" s="2"/>
      <c r="F172" s="2"/>
      <c r="G172" s="2"/>
      <c r="H172" s="2"/>
      <c r="I172" s="2"/>
      <c r="J172" s="2"/>
    </row>
    <row r="173" spans="1:10">
      <c r="A173" s="1"/>
      <c r="B173" s="47" t="s">
        <v>234</v>
      </c>
      <c r="C173" s="128"/>
      <c r="D173" s="125"/>
      <c r="E173" s="2"/>
      <c r="F173" s="2"/>
      <c r="G173" s="2"/>
      <c r="H173" s="2"/>
      <c r="I173" s="2"/>
      <c r="J173" s="2"/>
    </row>
    <row r="174" spans="1:10">
      <c r="A174" s="1"/>
      <c r="B174" s="77" t="s">
        <v>235</v>
      </c>
      <c r="C174" s="128"/>
      <c r="D174" s="125"/>
      <c r="E174" s="2"/>
      <c r="F174" s="2"/>
      <c r="G174" s="2"/>
      <c r="H174" s="2"/>
      <c r="I174" s="2"/>
      <c r="J174" s="2"/>
    </row>
    <row r="175" spans="1:10">
      <c r="A175" s="1"/>
      <c r="B175" s="47" t="s">
        <v>236</v>
      </c>
      <c r="C175" s="128"/>
      <c r="D175" s="125"/>
      <c r="E175" s="2"/>
      <c r="F175" s="2"/>
      <c r="G175" s="2"/>
      <c r="H175" s="2"/>
      <c r="I175" s="2"/>
      <c r="J175" s="2"/>
    </row>
    <row r="176" spans="1:10">
      <c r="A176" s="1"/>
      <c r="B176" s="77" t="s">
        <v>237</v>
      </c>
      <c r="C176" s="128"/>
      <c r="D176" s="125"/>
      <c r="E176" s="2"/>
      <c r="F176" s="2"/>
      <c r="G176" s="2"/>
      <c r="H176" s="2"/>
      <c r="I176" s="2"/>
      <c r="J176" s="2"/>
    </row>
    <row r="177" spans="1:10">
      <c r="A177" s="1"/>
      <c r="B177" s="47" t="s">
        <v>238</v>
      </c>
      <c r="C177" s="128"/>
      <c r="D177" s="125"/>
      <c r="E177" s="2"/>
      <c r="F177" s="2"/>
      <c r="G177" s="2"/>
      <c r="H177" s="2"/>
      <c r="I177" s="2"/>
      <c r="J177" s="2"/>
    </row>
    <row r="178" spans="1:10">
      <c r="A178" s="1"/>
      <c r="B178" s="77" t="s">
        <v>239</v>
      </c>
      <c r="C178" s="128"/>
      <c r="D178" s="125"/>
      <c r="E178" s="2"/>
      <c r="F178" s="2"/>
      <c r="G178" s="2"/>
      <c r="H178" s="2"/>
      <c r="I178" s="2"/>
      <c r="J178" s="2"/>
    </row>
    <row r="179" spans="1:10">
      <c r="A179" s="1" t="s">
        <v>240</v>
      </c>
      <c r="B179" s="47" t="s">
        <v>241</v>
      </c>
      <c r="C179" s="48">
        <v>25500</v>
      </c>
      <c r="D179" s="60">
        <f>SUM(D151:D178)</f>
        <v>10802350</v>
      </c>
      <c r="E179" s="4">
        <v>25500</v>
      </c>
      <c r="F179" s="2"/>
      <c r="G179" s="2"/>
      <c r="H179" s="2"/>
      <c r="I179" s="2"/>
      <c r="J179" s="2"/>
    </row>
    <row r="180" spans="1:10">
      <c r="A180" s="1"/>
      <c r="B180" s="47" t="s">
        <v>242</v>
      </c>
      <c r="C180" s="48">
        <v>52500</v>
      </c>
      <c r="D180" s="2"/>
      <c r="E180" s="4">
        <v>52500</v>
      </c>
      <c r="F180" s="2"/>
      <c r="G180" s="2"/>
      <c r="H180" s="2"/>
      <c r="I180" s="2"/>
      <c r="J180" s="2"/>
    </row>
    <row r="181" spans="1:10">
      <c r="A181" s="1"/>
      <c r="B181" s="3" t="s">
        <v>243</v>
      </c>
      <c r="C181" s="4">
        <v>233100</v>
      </c>
      <c r="D181" s="2"/>
      <c r="E181" s="4">
        <v>233100</v>
      </c>
      <c r="F181" s="2"/>
      <c r="G181" s="2"/>
      <c r="H181" s="2"/>
      <c r="I181" s="2"/>
      <c r="J181" s="2"/>
    </row>
    <row r="182" spans="1:10">
      <c r="A182" s="1"/>
      <c r="B182" s="3" t="s">
        <v>244</v>
      </c>
      <c r="C182" s="4">
        <v>43680</v>
      </c>
      <c r="D182" s="2"/>
      <c r="E182" s="4">
        <v>43680</v>
      </c>
      <c r="F182" s="2"/>
      <c r="G182" s="2"/>
      <c r="H182" s="2"/>
      <c r="I182" s="2"/>
      <c r="J182" s="2"/>
    </row>
    <row r="183" spans="1:10">
      <c r="A183" s="1"/>
      <c r="B183" s="3" t="s">
        <v>245</v>
      </c>
      <c r="C183" s="4">
        <v>102400</v>
      </c>
      <c r="D183" s="2"/>
      <c r="E183" s="4">
        <v>102400</v>
      </c>
      <c r="F183" s="2"/>
      <c r="G183" s="2"/>
      <c r="H183" s="2"/>
      <c r="I183" s="2"/>
      <c r="J183" s="2"/>
    </row>
    <row r="184" spans="1:10">
      <c r="A184" s="1"/>
      <c r="B184" s="3" t="s">
        <v>74</v>
      </c>
      <c r="C184" s="4">
        <v>100000</v>
      </c>
      <c r="D184" s="2"/>
      <c r="E184" s="4">
        <v>100000</v>
      </c>
      <c r="F184" s="2"/>
      <c r="G184" s="2"/>
      <c r="H184" s="2"/>
      <c r="I184" s="2"/>
      <c r="J184" s="2"/>
    </row>
    <row r="185" spans="1:10">
      <c r="A185" s="1" t="s">
        <v>246</v>
      </c>
      <c r="B185" s="47" t="s">
        <v>247</v>
      </c>
      <c r="C185" s="48">
        <v>122500</v>
      </c>
      <c r="D185" s="4">
        <v>122500</v>
      </c>
      <c r="E185" s="60">
        <f>SUM(E179:E184)</f>
        <v>557180</v>
      </c>
      <c r="F185" s="2"/>
      <c r="G185" s="2"/>
      <c r="H185" s="2"/>
      <c r="I185" s="2"/>
      <c r="J185" s="2"/>
    </row>
    <row r="186" spans="1:10">
      <c r="A186" s="1"/>
      <c r="B186" s="3" t="s">
        <v>248</v>
      </c>
      <c r="C186" s="4">
        <v>304123</v>
      </c>
      <c r="D186" s="4">
        <v>304123</v>
      </c>
      <c r="E186" s="2"/>
      <c r="F186" s="2"/>
      <c r="G186" s="2"/>
      <c r="H186" s="2"/>
      <c r="I186" s="2"/>
      <c r="J186" s="2"/>
    </row>
    <row r="187" spans="1:10">
      <c r="A187" s="1"/>
      <c r="B187" s="47" t="s">
        <v>249</v>
      </c>
      <c r="C187" s="48">
        <v>151500</v>
      </c>
      <c r="D187" s="4">
        <v>151500</v>
      </c>
      <c r="E187" s="2"/>
      <c r="F187" s="2"/>
      <c r="G187" s="2"/>
      <c r="H187" s="2"/>
      <c r="I187" s="2"/>
      <c r="J187" s="2"/>
    </row>
    <row r="188" spans="1:10">
      <c r="A188" s="1"/>
      <c r="B188" s="47" t="s">
        <v>101</v>
      </c>
      <c r="C188" s="48">
        <v>102500</v>
      </c>
      <c r="D188" s="4">
        <v>102500</v>
      </c>
      <c r="E188" s="2"/>
      <c r="F188" s="2"/>
      <c r="G188" s="2"/>
      <c r="H188" s="2"/>
      <c r="I188" s="2"/>
      <c r="J188" s="2"/>
    </row>
    <row r="189" spans="1:10">
      <c r="A189" s="1"/>
      <c r="B189" s="3" t="s">
        <v>138</v>
      </c>
      <c r="C189" s="4">
        <v>44500</v>
      </c>
      <c r="D189" s="4">
        <v>44500</v>
      </c>
      <c r="E189" s="2"/>
      <c r="F189" s="2"/>
      <c r="G189" s="2"/>
      <c r="H189" s="2"/>
      <c r="I189" s="2"/>
      <c r="J189" s="2"/>
    </row>
    <row r="190" spans="1:10">
      <c r="A190" s="20" t="s">
        <v>250</v>
      </c>
      <c r="B190" s="47" t="s">
        <v>110</v>
      </c>
      <c r="C190" s="48">
        <v>302500</v>
      </c>
      <c r="D190" s="60">
        <f>SUM(D185:D189)</f>
        <v>725123</v>
      </c>
      <c r="E190" s="4">
        <v>302500</v>
      </c>
      <c r="F190" s="2"/>
      <c r="G190" s="2"/>
      <c r="H190" s="2"/>
      <c r="I190" s="2"/>
      <c r="J190" s="2"/>
    </row>
    <row r="191" spans="1:10">
      <c r="A191" s="27"/>
      <c r="B191" s="3" t="s">
        <v>251</v>
      </c>
      <c r="C191" s="4">
        <v>402500</v>
      </c>
      <c r="D191" s="2"/>
      <c r="E191" s="4">
        <v>402500</v>
      </c>
      <c r="F191" s="2"/>
      <c r="G191" s="2"/>
      <c r="H191" s="2"/>
      <c r="I191" s="2"/>
      <c r="J191" s="2"/>
    </row>
    <row r="192" spans="1:10">
      <c r="A192" s="27"/>
      <c r="B192" s="131" t="s">
        <v>74</v>
      </c>
      <c r="C192" s="102">
        <v>100000</v>
      </c>
      <c r="D192" s="2"/>
      <c r="E192" s="102">
        <v>100000</v>
      </c>
      <c r="F192" s="2"/>
      <c r="G192" s="2"/>
      <c r="H192" s="2"/>
      <c r="I192" s="2"/>
      <c r="J192" s="2"/>
    </row>
    <row r="193" spans="1:10">
      <c r="A193" s="27"/>
      <c r="B193" s="131" t="s">
        <v>109</v>
      </c>
      <c r="C193" s="102">
        <v>203500</v>
      </c>
      <c r="D193" s="2"/>
      <c r="E193" s="102">
        <v>203500</v>
      </c>
      <c r="F193" s="2"/>
      <c r="G193" s="2"/>
      <c r="H193" s="2"/>
      <c r="I193" s="2"/>
      <c r="J193" s="2"/>
    </row>
    <row r="194" spans="1:10">
      <c r="A194" s="27"/>
      <c r="B194" s="47" t="s">
        <v>252</v>
      </c>
      <c r="C194" s="48">
        <v>179600</v>
      </c>
      <c r="D194" s="2"/>
      <c r="E194" s="102">
        <v>179600</v>
      </c>
      <c r="F194" s="2"/>
      <c r="G194" s="2"/>
      <c r="H194" s="2"/>
      <c r="I194" s="2"/>
      <c r="J194" s="2"/>
    </row>
    <row r="195" spans="1:10">
      <c r="A195" s="27"/>
      <c r="B195" s="47" t="s">
        <v>76</v>
      </c>
      <c r="C195" s="119">
        <v>6013805</v>
      </c>
      <c r="D195" s="2"/>
      <c r="E195" s="132">
        <v>6013805</v>
      </c>
      <c r="F195" s="2"/>
      <c r="G195" s="2"/>
      <c r="H195" s="2"/>
      <c r="I195" s="2"/>
      <c r="J195" s="2"/>
    </row>
    <row r="196" spans="1:10">
      <c r="A196" s="27"/>
      <c r="B196" s="47" t="s">
        <v>253</v>
      </c>
      <c r="C196" s="121"/>
      <c r="D196" s="2"/>
      <c r="E196" s="133"/>
      <c r="F196" s="2"/>
      <c r="G196" s="2"/>
      <c r="H196" s="2"/>
      <c r="I196" s="2"/>
      <c r="J196" s="2"/>
    </row>
    <row r="197" spans="1:10">
      <c r="A197" s="27"/>
      <c r="B197" s="47" t="s">
        <v>254</v>
      </c>
      <c r="C197" s="121"/>
      <c r="D197" s="2"/>
      <c r="E197" s="133"/>
      <c r="F197" s="2"/>
      <c r="G197" s="2"/>
      <c r="H197" s="2"/>
      <c r="I197" s="2"/>
      <c r="J197" s="2"/>
    </row>
    <row r="198" spans="1:10">
      <c r="A198" s="27"/>
      <c r="B198" s="47" t="s">
        <v>255</v>
      </c>
      <c r="C198" s="121"/>
      <c r="D198" s="2"/>
      <c r="E198" s="133"/>
      <c r="F198" s="2"/>
      <c r="G198" s="2"/>
      <c r="H198" s="2"/>
      <c r="I198" s="2"/>
      <c r="J198" s="2"/>
    </row>
    <row r="199" spans="1:10">
      <c r="A199" s="27"/>
      <c r="B199" s="47" t="s">
        <v>256</v>
      </c>
      <c r="C199" s="121"/>
      <c r="D199" s="2"/>
      <c r="E199" s="133"/>
      <c r="F199" s="2"/>
      <c r="G199" s="2"/>
      <c r="H199" s="2"/>
      <c r="I199" s="2"/>
      <c r="J199" s="2"/>
    </row>
    <row r="200" spans="1:10">
      <c r="A200" s="27"/>
      <c r="B200" s="47" t="s">
        <v>257</v>
      </c>
      <c r="C200" s="123"/>
      <c r="D200" s="2"/>
      <c r="E200" s="134"/>
      <c r="F200" s="2"/>
      <c r="G200" s="2"/>
      <c r="H200" s="2"/>
      <c r="I200" s="2"/>
      <c r="J200" s="2"/>
    </row>
    <row r="201" spans="1:10">
      <c r="A201" s="27"/>
      <c r="B201" s="3" t="s">
        <v>258</v>
      </c>
      <c r="C201" s="4">
        <v>100000</v>
      </c>
      <c r="D201" s="2"/>
      <c r="E201" s="4">
        <v>100000</v>
      </c>
      <c r="F201" s="2"/>
      <c r="G201" s="2"/>
      <c r="H201" s="2"/>
      <c r="I201" s="2"/>
      <c r="J201" s="2"/>
    </row>
    <row r="202" spans="1:10">
      <c r="A202" s="35"/>
      <c r="B202" s="3" t="s">
        <v>259</v>
      </c>
      <c r="C202" s="4">
        <v>91000</v>
      </c>
      <c r="D202" s="2"/>
      <c r="E202" s="4">
        <v>91000</v>
      </c>
      <c r="F202" s="2"/>
      <c r="G202" s="2"/>
      <c r="H202" s="2"/>
      <c r="I202" s="2"/>
      <c r="J202" s="2"/>
    </row>
    <row r="203" spans="1:10">
      <c r="A203" s="1" t="s">
        <v>260</v>
      </c>
      <c r="B203" s="3" t="s">
        <v>138</v>
      </c>
      <c r="C203" s="4">
        <v>34000</v>
      </c>
      <c r="D203" s="4">
        <v>34000</v>
      </c>
      <c r="E203" s="60">
        <f>SUM(E190:E202)</f>
        <v>7392905</v>
      </c>
      <c r="F203" s="2"/>
      <c r="G203" s="2"/>
      <c r="H203" s="2"/>
      <c r="I203" s="2"/>
      <c r="J203" s="2"/>
    </row>
    <row r="204" spans="1:10">
      <c r="A204" s="1"/>
      <c r="B204" s="47" t="s">
        <v>261</v>
      </c>
      <c r="C204" s="128">
        <v>210650</v>
      </c>
      <c r="D204" s="125">
        <v>210650</v>
      </c>
      <c r="E204" s="2"/>
      <c r="F204" s="2"/>
      <c r="G204" s="2"/>
      <c r="H204" s="2"/>
      <c r="I204" s="2"/>
      <c r="J204" s="2"/>
    </row>
    <row r="205" spans="1:10">
      <c r="A205" s="1"/>
      <c r="B205" s="47" t="s">
        <v>262</v>
      </c>
      <c r="C205" s="128"/>
      <c r="D205" s="125"/>
      <c r="E205" s="126"/>
      <c r="F205" s="2"/>
      <c r="G205" s="2"/>
      <c r="H205" s="2"/>
      <c r="I205" s="2"/>
      <c r="J205" s="2"/>
    </row>
    <row r="206" spans="1:10">
      <c r="A206" s="1"/>
      <c r="B206" s="47" t="s">
        <v>263</v>
      </c>
      <c r="C206" s="128"/>
      <c r="D206" s="125"/>
      <c r="E206" s="2"/>
      <c r="F206" s="2"/>
      <c r="G206" s="2"/>
      <c r="H206" s="2"/>
      <c r="I206" s="2"/>
      <c r="J206" s="2"/>
    </row>
    <row r="207" spans="1:10">
      <c r="A207" s="1"/>
      <c r="B207" s="3" t="s">
        <v>74</v>
      </c>
      <c r="C207" s="4">
        <v>100000</v>
      </c>
      <c r="D207" s="4">
        <v>100000</v>
      </c>
      <c r="E207" s="2"/>
      <c r="F207" s="2"/>
      <c r="G207" s="2"/>
      <c r="H207" s="2"/>
      <c r="I207" s="2"/>
      <c r="J207" s="2"/>
    </row>
    <row r="208" spans="1:10">
      <c r="A208" s="1" t="s">
        <v>264</v>
      </c>
      <c r="B208" s="3" t="s">
        <v>265</v>
      </c>
      <c r="C208" s="4">
        <v>100000</v>
      </c>
      <c r="D208" s="60">
        <f>SUM(D203:D207)</f>
        <v>344650</v>
      </c>
      <c r="E208" s="4">
        <v>100000</v>
      </c>
      <c r="F208" s="2"/>
      <c r="G208" s="2"/>
      <c r="H208" s="2"/>
      <c r="I208" s="2"/>
      <c r="J208" s="2"/>
    </row>
    <row r="209" spans="1:10">
      <c r="A209" s="1"/>
      <c r="B209" s="3" t="s">
        <v>266</v>
      </c>
      <c r="C209" s="4">
        <v>446000</v>
      </c>
      <c r="D209" s="2"/>
      <c r="E209" s="4">
        <v>446000</v>
      </c>
      <c r="F209" s="2"/>
      <c r="G209" s="2"/>
      <c r="H209" s="2"/>
      <c r="I209" s="2"/>
      <c r="J209" s="2"/>
    </row>
    <row r="210" spans="1:10">
      <c r="A210" s="1"/>
      <c r="B210" s="3" t="s">
        <v>267</v>
      </c>
      <c r="C210" s="4">
        <v>114851</v>
      </c>
      <c r="D210" s="2"/>
      <c r="E210" s="4">
        <v>114851</v>
      </c>
      <c r="F210" s="2"/>
      <c r="G210" s="2"/>
      <c r="H210" s="2"/>
      <c r="I210" s="2"/>
      <c r="J210" s="2"/>
    </row>
    <row r="211" spans="1:10">
      <c r="A211" s="1"/>
      <c r="B211" s="3" t="s">
        <v>268</v>
      </c>
      <c r="C211" s="4">
        <v>87000</v>
      </c>
      <c r="D211" s="2"/>
      <c r="E211" s="4">
        <v>87000</v>
      </c>
      <c r="F211" s="2"/>
      <c r="G211" s="2"/>
      <c r="H211" s="2"/>
      <c r="I211" s="2"/>
      <c r="J211" s="2"/>
    </row>
    <row r="212" spans="1:10">
      <c r="A212" s="1"/>
      <c r="B212" s="47" t="s">
        <v>269</v>
      </c>
      <c r="C212" s="48">
        <v>1546300</v>
      </c>
      <c r="D212" s="2"/>
      <c r="E212" s="4">
        <v>1546300</v>
      </c>
      <c r="F212" s="2"/>
      <c r="G212" s="2"/>
      <c r="H212" s="2"/>
      <c r="I212" s="2"/>
      <c r="J212" s="2"/>
    </row>
    <row r="213" spans="1:10">
      <c r="A213" s="1"/>
      <c r="B213" s="47" t="s">
        <v>97</v>
      </c>
      <c r="C213" s="128">
        <v>201500</v>
      </c>
      <c r="D213" s="2"/>
      <c r="E213" s="125">
        <v>201500</v>
      </c>
      <c r="F213" s="2"/>
      <c r="G213" s="2"/>
      <c r="H213" s="2"/>
      <c r="I213" s="2"/>
      <c r="J213" s="2"/>
    </row>
    <row r="214" spans="1:10">
      <c r="A214" s="1"/>
      <c r="B214" s="47" t="s">
        <v>270</v>
      </c>
      <c r="C214" s="128"/>
      <c r="D214" s="2"/>
      <c r="E214" s="125"/>
      <c r="F214" s="2"/>
      <c r="G214" s="2"/>
      <c r="H214" s="2"/>
      <c r="I214" s="2"/>
      <c r="J214" s="2"/>
    </row>
    <row r="215" spans="1:10">
      <c r="A215" s="1"/>
      <c r="B215" s="47" t="s">
        <v>271</v>
      </c>
      <c r="C215" s="128"/>
      <c r="D215" s="2"/>
      <c r="E215" s="125"/>
      <c r="F215" s="2"/>
      <c r="G215" s="2"/>
      <c r="H215" s="2"/>
      <c r="I215" s="2"/>
      <c r="J215" s="2"/>
    </row>
    <row r="216" spans="1:10">
      <c r="A216" s="1"/>
      <c r="B216" s="77" t="s">
        <v>272</v>
      </c>
      <c r="C216" s="128"/>
      <c r="D216" s="2"/>
      <c r="E216" s="125"/>
      <c r="F216" s="2"/>
      <c r="G216" s="2"/>
      <c r="H216" s="2"/>
      <c r="I216" s="2"/>
      <c r="J216" s="2"/>
    </row>
    <row r="217" spans="1:10">
      <c r="A217" s="1"/>
      <c r="B217" s="47" t="s">
        <v>76</v>
      </c>
      <c r="C217" s="128">
        <v>1644000</v>
      </c>
      <c r="D217" s="2"/>
      <c r="E217" s="120">
        <v>1644000</v>
      </c>
      <c r="F217" s="2"/>
      <c r="G217" s="2"/>
      <c r="H217" s="2"/>
      <c r="I217" s="2"/>
      <c r="J217" s="2"/>
    </row>
    <row r="218" spans="1:10">
      <c r="A218" s="1"/>
      <c r="B218" s="47" t="s">
        <v>273</v>
      </c>
      <c r="C218" s="128"/>
      <c r="D218" s="2"/>
      <c r="E218" s="122"/>
      <c r="F218" s="2"/>
      <c r="G218" s="2"/>
      <c r="H218" s="2"/>
      <c r="I218" s="2"/>
      <c r="J218" s="2"/>
    </row>
    <row r="219" spans="1:10">
      <c r="A219" s="1"/>
      <c r="B219" s="47" t="s">
        <v>274</v>
      </c>
      <c r="C219" s="128"/>
      <c r="D219" s="2"/>
      <c r="E219" s="124"/>
      <c r="F219" s="2"/>
      <c r="G219" s="2"/>
      <c r="H219" s="2"/>
      <c r="I219" s="2"/>
      <c r="J219" s="2"/>
    </row>
    <row r="220" spans="1:10">
      <c r="A220" s="1"/>
      <c r="B220" s="3" t="s">
        <v>138</v>
      </c>
      <c r="C220" s="4">
        <v>100000</v>
      </c>
      <c r="D220" s="2"/>
      <c r="E220" s="4">
        <v>100000</v>
      </c>
      <c r="F220" s="2"/>
      <c r="G220" s="2"/>
      <c r="H220" s="2"/>
      <c r="I220" s="2"/>
      <c r="J220" s="2"/>
    </row>
    <row r="221" spans="1:10">
      <c r="A221" s="1"/>
      <c r="B221" s="3" t="s">
        <v>275</v>
      </c>
      <c r="C221" s="4">
        <v>136000</v>
      </c>
      <c r="D221" s="2"/>
      <c r="E221" s="4">
        <v>136000</v>
      </c>
      <c r="F221" s="2"/>
      <c r="G221" s="2"/>
      <c r="H221" s="2"/>
      <c r="I221" s="2"/>
      <c r="J221" s="2"/>
    </row>
    <row r="222" spans="1:10">
      <c r="A222" s="1"/>
      <c r="B222" s="3" t="s">
        <v>276</v>
      </c>
      <c r="C222" s="4">
        <v>302500</v>
      </c>
      <c r="D222" s="2"/>
      <c r="E222" s="4">
        <v>302500</v>
      </c>
      <c r="F222" s="2"/>
      <c r="G222" s="2"/>
      <c r="H222" s="2"/>
      <c r="I222" s="2"/>
      <c r="J222" s="2"/>
    </row>
    <row r="223" spans="1:10">
      <c r="A223" s="1" t="s">
        <v>277</v>
      </c>
      <c r="B223" s="3" t="s">
        <v>278</v>
      </c>
      <c r="C223" s="4">
        <v>100000</v>
      </c>
      <c r="D223" s="127">
        <v>100000</v>
      </c>
      <c r="E223" s="60">
        <f>SUM(E208:E222)</f>
        <v>4678151</v>
      </c>
      <c r="F223" s="2"/>
      <c r="G223" s="2"/>
      <c r="H223" s="2"/>
      <c r="I223" s="2"/>
      <c r="J223" s="2"/>
    </row>
    <row r="224" spans="1:10">
      <c r="A224" s="1"/>
      <c r="B224" s="3" t="s">
        <v>279</v>
      </c>
      <c r="C224" s="4">
        <v>147000</v>
      </c>
      <c r="D224" s="127">
        <v>147000</v>
      </c>
      <c r="E224" s="2"/>
      <c r="F224" s="2"/>
      <c r="G224" s="2"/>
      <c r="H224" s="2"/>
      <c r="I224" s="2"/>
      <c r="J224" s="2"/>
    </row>
    <row r="225" spans="1:10">
      <c r="A225" s="1"/>
      <c r="B225" s="3" t="s">
        <v>278</v>
      </c>
      <c r="C225" s="4">
        <v>15000</v>
      </c>
      <c r="D225" s="127">
        <v>15000</v>
      </c>
      <c r="E225" s="2"/>
      <c r="F225" s="2"/>
      <c r="G225" s="2"/>
      <c r="H225" s="2"/>
      <c r="I225" s="2"/>
      <c r="J225" s="2"/>
    </row>
    <row r="226" spans="1:10">
      <c r="A226" s="1"/>
      <c r="B226" s="3" t="s">
        <v>278</v>
      </c>
      <c r="C226" s="4">
        <v>60000</v>
      </c>
      <c r="D226" s="4">
        <v>60000</v>
      </c>
      <c r="E226" s="2"/>
      <c r="F226" s="2"/>
      <c r="G226" s="2"/>
      <c r="H226" s="2"/>
      <c r="I226" s="2"/>
      <c r="J226" s="2"/>
    </row>
    <row r="227" spans="1:10">
      <c r="A227" s="1" t="s">
        <v>280</v>
      </c>
      <c r="B227" s="47" t="s">
        <v>116</v>
      </c>
      <c r="C227" s="128">
        <v>4955560</v>
      </c>
      <c r="D227" s="60">
        <f>SUM(D223:D226)</f>
        <v>322000</v>
      </c>
      <c r="E227" s="125">
        <v>4955560</v>
      </c>
      <c r="F227" s="2"/>
      <c r="G227" s="2"/>
      <c r="H227" s="2"/>
      <c r="I227" s="2"/>
      <c r="J227" s="2"/>
    </row>
    <row r="228" spans="1:10">
      <c r="A228" s="1"/>
      <c r="B228" s="47" t="s">
        <v>281</v>
      </c>
      <c r="C228" s="128"/>
      <c r="D228" s="2"/>
      <c r="E228" s="125"/>
      <c r="F228" s="2"/>
      <c r="G228" s="2"/>
      <c r="H228" s="2"/>
      <c r="I228" s="2"/>
      <c r="J228" s="2"/>
    </row>
    <row r="229" spans="1:10">
      <c r="A229" s="1"/>
      <c r="B229" s="47" t="s">
        <v>282</v>
      </c>
      <c r="C229" s="128"/>
      <c r="D229" s="2"/>
      <c r="E229" s="125"/>
      <c r="F229" s="2"/>
      <c r="G229" s="2"/>
      <c r="H229" s="2"/>
      <c r="I229" s="2"/>
      <c r="J229" s="2"/>
    </row>
    <row r="230" spans="1:10">
      <c r="A230" s="1"/>
      <c r="B230" s="3" t="s">
        <v>283</v>
      </c>
      <c r="C230" s="125">
        <v>612000</v>
      </c>
      <c r="D230" s="2"/>
      <c r="E230" s="125">
        <v>612000</v>
      </c>
      <c r="F230" s="2"/>
      <c r="G230" s="2"/>
      <c r="H230" s="2"/>
      <c r="I230" s="2"/>
      <c r="J230" s="2"/>
    </row>
    <row r="231" spans="1:10">
      <c r="A231" s="1"/>
      <c r="B231" s="3" t="s">
        <v>284</v>
      </c>
      <c r="C231" s="125"/>
      <c r="D231" s="2"/>
      <c r="E231" s="125"/>
      <c r="F231" s="2"/>
      <c r="G231" s="2"/>
      <c r="H231" s="2"/>
      <c r="I231" s="2"/>
      <c r="J231" s="2"/>
    </row>
    <row r="232" spans="1:10">
      <c r="A232" s="1"/>
      <c r="B232" s="3" t="s">
        <v>285</v>
      </c>
      <c r="C232" s="125"/>
      <c r="D232" s="2"/>
      <c r="E232" s="125"/>
      <c r="F232" s="2"/>
      <c r="G232" s="2"/>
      <c r="H232" s="2"/>
      <c r="I232" s="2"/>
      <c r="J232" s="2"/>
    </row>
    <row r="233" spans="1:10">
      <c r="A233" s="1"/>
      <c r="B233" s="3" t="s">
        <v>286</v>
      </c>
      <c r="C233" s="125"/>
      <c r="D233" s="2"/>
      <c r="E233" s="125"/>
      <c r="F233" s="2"/>
      <c r="G233" s="2"/>
      <c r="H233" s="2"/>
      <c r="I233" s="2"/>
      <c r="J233" s="2"/>
    </row>
    <row r="234" spans="1:10">
      <c r="A234" s="1"/>
      <c r="B234" s="3" t="s">
        <v>287</v>
      </c>
      <c r="C234" s="4">
        <v>52500</v>
      </c>
      <c r="D234" s="2"/>
      <c r="E234" s="4">
        <v>52500</v>
      </c>
      <c r="F234" s="2"/>
      <c r="G234" s="2"/>
      <c r="H234" s="2"/>
      <c r="I234" s="2"/>
      <c r="J234" s="2"/>
    </row>
    <row r="235" spans="1:10">
      <c r="A235" s="1"/>
      <c r="B235" s="47" t="s">
        <v>288</v>
      </c>
      <c r="C235" s="48">
        <v>1742500</v>
      </c>
      <c r="D235" s="2"/>
      <c r="E235" s="4">
        <v>1742500</v>
      </c>
      <c r="F235" s="2"/>
      <c r="G235" s="2"/>
      <c r="H235" s="2"/>
      <c r="I235" s="2"/>
      <c r="J235" s="2"/>
    </row>
    <row r="236" spans="1:10">
      <c r="C236" s="2"/>
      <c r="D236" s="2"/>
      <c r="E236" s="60">
        <f>SUM(E227:E235)</f>
        <v>7362560</v>
      </c>
      <c r="F236" s="2"/>
      <c r="G236" s="2"/>
      <c r="H236" s="2"/>
      <c r="I236" s="2"/>
      <c r="J236" s="2"/>
    </row>
    <row r="237" spans="1:10">
      <c r="C237" s="2"/>
      <c r="D237" s="2"/>
      <c r="E237" s="2"/>
      <c r="F237" s="2"/>
      <c r="G237" s="2"/>
      <c r="H237" s="2"/>
      <c r="I237" s="2"/>
      <c r="J237" s="2"/>
    </row>
    <row r="238" spans="1:10">
      <c r="C238" s="2"/>
      <c r="D238" s="2"/>
      <c r="E238" s="2"/>
      <c r="F238" s="2"/>
      <c r="G238" s="2"/>
      <c r="H238" s="2"/>
      <c r="I238" s="2"/>
      <c r="J238" s="2"/>
    </row>
    <row r="239" spans="1:10">
      <c r="C239" s="2"/>
      <c r="D239" s="2"/>
      <c r="E239" s="2"/>
      <c r="F239" s="2"/>
      <c r="G239" s="2"/>
      <c r="H239" s="2"/>
      <c r="I239" s="2"/>
      <c r="J239" s="2"/>
    </row>
    <row r="240" spans="1:10">
      <c r="C240" s="2"/>
      <c r="D240" s="2"/>
      <c r="E240" s="2"/>
      <c r="F240" s="2"/>
      <c r="G240" s="2"/>
      <c r="H240" s="2"/>
      <c r="I240" s="2"/>
      <c r="J240" s="2"/>
    </row>
    <row r="241" spans="3:10">
      <c r="C241" s="2"/>
      <c r="D241" s="2"/>
      <c r="E241" s="2"/>
      <c r="F241" s="2"/>
      <c r="G241" s="2"/>
      <c r="H241" s="2"/>
      <c r="I241" s="2"/>
      <c r="J241" s="2"/>
    </row>
    <row r="242" spans="3:10">
      <c r="C242" s="2"/>
      <c r="D242" s="2"/>
      <c r="E242" s="2"/>
      <c r="F242" s="2"/>
      <c r="G242" s="2"/>
      <c r="H242" s="2"/>
      <c r="I242" s="2"/>
      <c r="J242" s="2"/>
    </row>
    <row r="243" spans="3:10">
      <c r="C243" s="2"/>
      <c r="D243" s="2"/>
      <c r="E243" s="2"/>
      <c r="F243" s="2"/>
      <c r="G243" s="2"/>
      <c r="H243" s="2"/>
      <c r="I243" s="2"/>
      <c r="J243" s="2"/>
    </row>
    <row r="244" spans="3:10">
      <c r="C244" s="2"/>
      <c r="D244" s="2"/>
      <c r="E244" s="2"/>
      <c r="F244" s="2"/>
      <c r="G244" s="2"/>
      <c r="H244" s="2"/>
      <c r="I244" s="2"/>
      <c r="J244" s="2"/>
    </row>
    <row r="245" spans="3:10">
      <c r="C245" s="2"/>
      <c r="D245" s="2"/>
      <c r="G245" s="2"/>
      <c r="H245" s="2"/>
      <c r="I245" s="2"/>
      <c r="J245" s="2"/>
    </row>
    <row r="246" spans="3:10">
      <c r="C246" s="2"/>
      <c r="D246" s="2"/>
      <c r="G246" s="2"/>
      <c r="H246" s="2"/>
      <c r="I246" s="2"/>
      <c r="J246" s="2"/>
    </row>
    <row r="247" spans="3:10">
      <c r="C247" s="2"/>
      <c r="D247" s="2"/>
      <c r="G247" s="2"/>
      <c r="H247" s="2"/>
      <c r="I247" s="2"/>
      <c r="J247" s="2"/>
    </row>
    <row r="248" spans="3:10">
      <c r="C248" s="2"/>
      <c r="D248" s="2"/>
      <c r="I248" s="2"/>
      <c r="J248" s="2"/>
    </row>
    <row r="249" spans="3:10">
      <c r="C249" s="2"/>
      <c r="D249" s="2"/>
      <c r="I249" s="2"/>
      <c r="J249" s="2"/>
    </row>
    <row r="250" spans="3:10">
      <c r="C250" s="2"/>
      <c r="D250" s="2"/>
      <c r="I250" s="2"/>
      <c r="J250" s="2"/>
    </row>
    <row r="251" spans="3:10">
      <c r="C251" s="2"/>
      <c r="D251" s="2"/>
      <c r="I251" s="2"/>
      <c r="J251" s="2"/>
    </row>
    <row r="252" spans="3:10">
      <c r="C252" s="2"/>
      <c r="D252" s="2"/>
      <c r="I252" s="2"/>
      <c r="J252" s="2"/>
    </row>
    <row r="253" spans="3:10">
      <c r="C253" s="2"/>
      <c r="D253" s="2"/>
      <c r="I253" s="2"/>
      <c r="J253" s="2"/>
    </row>
    <row r="254" spans="3:10">
      <c r="C254" s="2"/>
      <c r="D254" s="2"/>
      <c r="I254" s="2"/>
      <c r="J254" s="2"/>
    </row>
    <row r="255" spans="3:10">
      <c r="C255" s="2"/>
      <c r="D255" s="2"/>
      <c r="I255" s="2"/>
      <c r="J255" s="2"/>
    </row>
    <row r="256" spans="3:10">
      <c r="C256" s="2"/>
      <c r="D256" s="2"/>
      <c r="I256" s="2"/>
      <c r="J256" s="2"/>
    </row>
    <row r="257" spans="3:10">
      <c r="C257" s="2"/>
      <c r="D257" s="2"/>
      <c r="I257" s="2"/>
      <c r="J257" s="2"/>
    </row>
    <row r="258" spans="3:10">
      <c r="C258" s="2"/>
      <c r="D258" s="2"/>
      <c r="I258" s="2"/>
      <c r="J258" s="2"/>
    </row>
    <row r="259" spans="3:10">
      <c r="C259" s="2"/>
      <c r="D259" s="2"/>
      <c r="I259" s="2"/>
      <c r="J259" s="2"/>
    </row>
    <row r="260" spans="3:10">
      <c r="C260" s="2"/>
      <c r="D260" s="2"/>
      <c r="I260" s="2"/>
      <c r="J260" s="2"/>
    </row>
    <row r="261" spans="3:10">
      <c r="C261" s="2"/>
      <c r="D261" s="2"/>
      <c r="I261" s="2"/>
      <c r="J261" s="2"/>
    </row>
  </sheetData>
  <mergeCells count="79">
    <mergeCell ref="A1:C1"/>
    <mergeCell ref="G2:H2"/>
    <mergeCell ref="G14:H14"/>
    <mergeCell ref="G18:H18"/>
    <mergeCell ref="G22:H22"/>
    <mergeCell ref="G28:H28"/>
    <mergeCell ref="A3:A7"/>
    <mergeCell ref="A8:A14"/>
    <mergeCell ref="A15:A23"/>
    <mergeCell ref="A24:A39"/>
    <mergeCell ref="A40:A61"/>
    <mergeCell ref="A62:A73"/>
    <mergeCell ref="A74:A99"/>
    <mergeCell ref="A100:A105"/>
    <mergeCell ref="A106:A119"/>
    <mergeCell ref="A120:A127"/>
    <mergeCell ref="A128:A143"/>
    <mergeCell ref="A144:A150"/>
    <mergeCell ref="A151:A178"/>
    <mergeCell ref="A179:A184"/>
    <mergeCell ref="A185:A189"/>
    <mergeCell ref="A190:A202"/>
    <mergeCell ref="A203:A207"/>
    <mergeCell ref="A208:A222"/>
    <mergeCell ref="A223:A226"/>
    <mergeCell ref="A227:A235"/>
    <mergeCell ref="C9:C11"/>
    <mergeCell ref="C16:C20"/>
    <mergeCell ref="C24:C26"/>
    <mergeCell ref="C42:C44"/>
    <mergeCell ref="C50:C58"/>
    <mergeCell ref="C62:C64"/>
    <mergeCell ref="C68:C71"/>
    <mergeCell ref="C78:C81"/>
    <mergeCell ref="C82:C91"/>
    <mergeCell ref="C94:C99"/>
    <mergeCell ref="C107:C111"/>
    <mergeCell ref="C114:C116"/>
    <mergeCell ref="C117:C119"/>
    <mergeCell ref="C129:C131"/>
    <mergeCell ref="C140:C142"/>
    <mergeCell ref="C145:C148"/>
    <mergeCell ref="C154:C157"/>
    <mergeCell ref="C162:C165"/>
    <mergeCell ref="C166:C169"/>
    <mergeCell ref="C172:C178"/>
    <mergeCell ref="C195:C200"/>
    <mergeCell ref="C204:C206"/>
    <mergeCell ref="C213:C216"/>
    <mergeCell ref="C217:C219"/>
    <mergeCell ref="C227:C229"/>
    <mergeCell ref="C230:C233"/>
    <mergeCell ref="D16:D20"/>
    <mergeCell ref="D24:D26"/>
    <mergeCell ref="D42:D44"/>
    <mergeCell ref="D50:D58"/>
    <mergeCell ref="D78:D81"/>
    <mergeCell ref="D82:D91"/>
    <mergeCell ref="D94:D99"/>
    <mergeCell ref="D107:D111"/>
    <mergeCell ref="D114:D116"/>
    <mergeCell ref="D117:D119"/>
    <mergeCell ref="D129:D131"/>
    <mergeCell ref="D140:D142"/>
    <mergeCell ref="D154:D157"/>
    <mergeCell ref="D162:D165"/>
    <mergeCell ref="D166:D169"/>
    <mergeCell ref="D172:D178"/>
    <mergeCell ref="D204:D206"/>
    <mergeCell ref="E9:E11"/>
    <mergeCell ref="E24:E26"/>
    <mergeCell ref="E62:E64"/>
    <mergeCell ref="E68:E71"/>
    <mergeCell ref="E145:E148"/>
    <mergeCell ref="E195:E200"/>
    <mergeCell ref="E213:E216"/>
    <mergeCell ref="E217:E219"/>
    <mergeCell ref="E227:E229"/>
    <mergeCell ref="E230:E2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7"/>
  <sheetViews>
    <sheetView zoomScale="85" zoomScaleNormal="85" topLeftCell="A88" workbookViewId="0">
      <selection activeCell="B79" sqref="B79:C79"/>
    </sheetView>
  </sheetViews>
  <sheetFormatPr defaultColWidth="8.88888888888889" defaultRowHeight="14.4"/>
  <cols>
    <col min="1" max="1" width="23" customWidth="1"/>
    <col min="2" max="2" width="37.2222222222222" customWidth="1"/>
    <col min="3" max="3" width="17.4444444444444" customWidth="1"/>
    <col min="4" max="4" width="16.7777777777778" customWidth="1"/>
    <col min="5" max="5" width="18.5555555555556" customWidth="1"/>
    <col min="7" max="7" width="18.6666666666667" customWidth="1"/>
    <col min="8" max="8" width="13.1111111111111" customWidth="1"/>
  </cols>
  <sheetData>
    <row r="1" ht="21" spans="1:10">
      <c r="A1" s="103" t="s">
        <v>289</v>
      </c>
      <c r="B1" s="103"/>
      <c r="C1" s="103"/>
      <c r="D1" s="103"/>
      <c r="E1" s="103"/>
    </row>
    <row r="2" spans="1:10">
      <c r="A2" s="104" t="s">
        <v>1</v>
      </c>
      <c r="B2" s="104"/>
      <c r="C2" s="104"/>
      <c r="D2" s="104"/>
      <c r="E2" s="104"/>
    </row>
    <row r="3" spans="1:10">
      <c r="A3" s="105" t="s">
        <v>290</v>
      </c>
      <c r="B3" s="105" t="s">
        <v>291</v>
      </c>
      <c r="C3" s="105" t="s">
        <v>292</v>
      </c>
      <c r="D3" s="105"/>
      <c r="E3" s="86" t="s">
        <v>293</v>
      </c>
    </row>
    <row r="4" spans="1:10">
      <c r="A4" s="105"/>
      <c r="B4" s="105"/>
      <c r="C4" s="106" t="s">
        <v>294</v>
      </c>
      <c r="D4" s="106" t="s">
        <v>295</v>
      </c>
      <c r="E4" s="86"/>
    </row>
    <row r="5" spans="1:10">
      <c r="A5" s="20" t="s">
        <v>63</v>
      </c>
      <c r="B5" s="107" t="s">
        <v>64</v>
      </c>
      <c r="C5" s="23">
        <v>1600000</v>
      </c>
      <c r="D5" s="23"/>
      <c r="E5" s="23">
        <v>381836</v>
      </c>
      <c r="F5" s="2"/>
      <c r="G5" s="2"/>
      <c r="H5" s="2"/>
      <c r="I5" s="2"/>
      <c r="J5" s="2"/>
    </row>
    <row r="6" spans="1:10">
      <c r="A6" s="27"/>
      <c r="B6" s="108" t="s">
        <v>296</v>
      </c>
      <c r="C6" s="23">
        <v>100000</v>
      </c>
      <c r="D6" s="23"/>
      <c r="E6" s="23">
        <f>E5+C5-D5</f>
        <v>1981836</v>
      </c>
      <c r="F6" s="2"/>
      <c r="G6" s="2"/>
      <c r="H6" s="2"/>
      <c r="I6" s="2"/>
      <c r="J6" s="2"/>
    </row>
    <row r="7" spans="1:10">
      <c r="A7" s="27"/>
      <c r="B7" s="108" t="s">
        <v>297</v>
      </c>
      <c r="C7" s="23">
        <v>250000</v>
      </c>
      <c r="D7" s="23"/>
      <c r="E7" s="23">
        <f t="shared" ref="E7:E38" si="0">E6+C6-D6</f>
        <v>2081836</v>
      </c>
      <c r="F7" s="2"/>
      <c r="G7" s="2"/>
      <c r="H7" s="2"/>
      <c r="I7" s="2"/>
      <c r="J7" s="2"/>
    </row>
    <row r="8" spans="1:10">
      <c r="A8" s="27"/>
      <c r="B8" s="108" t="s">
        <v>298</v>
      </c>
      <c r="C8" s="23">
        <v>5499000</v>
      </c>
      <c r="D8" s="23"/>
      <c r="E8" s="23">
        <f t="shared" si="0"/>
        <v>2331836</v>
      </c>
      <c r="F8" s="2"/>
      <c r="G8" s="2"/>
      <c r="H8" s="2"/>
      <c r="I8" s="2"/>
      <c r="J8" s="2"/>
    </row>
    <row r="9" spans="1:10">
      <c r="A9" s="35"/>
      <c r="B9" s="109" t="s">
        <v>299</v>
      </c>
      <c r="C9" s="23"/>
      <c r="D9" s="23">
        <v>2533000</v>
      </c>
      <c r="E9" s="23">
        <f t="shared" si="0"/>
        <v>7830836</v>
      </c>
      <c r="F9" s="2"/>
      <c r="G9" s="2"/>
      <c r="H9" s="2"/>
      <c r="I9" s="2"/>
      <c r="J9" s="2"/>
    </row>
    <row r="10" spans="1:10">
      <c r="A10" s="20" t="s">
        <v>300</v>
      </c>
      <c r="B10" s="97"/>
      <c r="C10" s="23"/>
      <c r="D10" s="23"/>
      <c r="E10" s="23">
        <f t="shared" si="0"/>
        <v>5297836</v>
      </c>
      <c r="F10" s="2"/>
      <c r="G10" s="2"/>
      <c r="H10" s="2"/>
      <c r="I10" s="2"/>
      <c r="J10" s="2"/>
    </row>
    <row r="11" spans="1:10">
      <c r="A11" s="35"/>
      <c r="B11" s="109" t="s">
        <v>299</v>
      </c>
      <c r="C11" s="23"/>
      <c r="D11" s="23"/>
      <c r="E11" s="23">
        <f t="shared" si="0"/>
        <v>5297836</v>
      </c>
      <c r="F11" s="2"/>
      <c r="G11" s="2"/>
      <c r="H11" s="2"/>
      <c r="I11" s="2"/>
      <c r="J11" s="2"/>
    </row>
    <row r="12" spans="1:10">
      <c r="A12" s="20" t="s">
        <v>73</v>
      </c>
      <c r="B12" s="97" t="s">
        <v>301</v>
      </c>
      <c r="C12" s="23">
        <v>100000</v>
      </c>
      <c r="D12" s="23"/>
      <c r="E12" s="23">
        <f t="shared" si="0"/>
        <v>5297836</v>
      </c>
      <c r="F12" s="2"/>
      <c r="G12" s="2"/>
      <c r="H12" s="2"/>
      <c r="I12" s="2"/>
      <c r="J12" s="2"/>
    </row>
    <row r="13" spans="1:10">
      <c r="A13" s="35"/>
      <c r="B13" s="109" t="s">
        <v>299</v>
      </c>
      <c r="C13" s="23"/>
      <c r="D13" s="23">
        <v>2146950</v>
      </c>
      <c r="E13" s="23">
        <f t="shared" si="0"/>
        <v>5397836</v>
      </c>
      <c r="F13" s="2"/>
      <c r="G13" s="2"/>
      <c r="H13" s="2"/>
      <c r="I13" s="2"/>
      <c r="J13" s="2"/>
    </row>
    <row r="14" spans="1:10">
      <c r="A14" s="20" t="s">
        <v>83</v>
      </c>
      <c r="B14" s="97"/>
      <c r="C14" s="23"/>
      <c r="D14" s="23"/>
      <c r="E14" s="23">
        <f t="shared" si="0"/>
        <v>3250886</v>
      </c>
      <c r="F14" s="2"/>
      <c r="G14" s="2"/>
      <c r="H14" s="2"/>
      <c r="I14" s="2"/>
      <c r="J14" s="2"/>
    </row>
    <row r="15" spans="1:10">
      <c r="A15" s="35"/>
      <c r="B15" s="109" t="s">
        <v>299</v>
      </c>
      <c r="C15" s="23"/>
      <c r="D15" s="23">
        <v>1336065</v>
      </c>
      <c r="E15" s="23">
        <f t="shared" si="0"/>
        <v>3250886</v>
      </c>
      <c r="F15" s="2"/>
      <c r="G15" s="2"/>
      <c r="H15" s="2"/>
      <c r="I15" s="2"/>
      <c r="J15" s="2"/>
    </row>
    <row r="16" spans="1:10">
      <c r="A16" s="20" t="s">
        <v>96</v>
      </c>
      <c r="B16" s="107" t="s">
        <v>302</v>
      </c>
      <c r="C16" s="23">
        <v>585000</v>
      </c>
      <c r="D16" s="23"/>
      <c r="E16" s="23">
        <f t="shared" si="0"/>
        <v>1914821</v>
      </c>
      <c r="F16" s="2"/>
      <c r="G16" s="2"/>
      <c r="H16" s="2"/>
      <c r="I16" s="2"/>
      <c r="J16" s="2"/>
    </row>
    <row r="17" spans="1:10">
      <c r="A17" s="27"/>
      <c r="B17" s="7" t="s">
        <v>303</v>
      </c>
      <c r="C17" s="6">
        <v>3733000</v>
      </c>
      <c r="D17" s="23"/>
      <c r="E17" s="23">
        <f t="shared" si="0"/>
        <v>2499821</v>
      </c>
      <c r="F17" s="2"/>
      <c r="G17" s="2"/>
      <c r="H17" s="2"/>
      <c r="I17" s="2"/>
      <c r="J17" s="2"/>
    </row>
    <row r="18" spans="1:10">
      <c r="A18" s="35"/>
      <c r="B18" s="109" t="s">
        <v>299</v>
      </c>
      <c r="C18" s="23"/>
      <c r="D18" s="23">
        <v>3215043</v>
      </c>
      <c r="E18" s="23">
        <f t="shared" si="0"/>
        <v>6232821</v>
      </c>
      <c r="F18" s="2"/>
      <c r="G18" s="2"/>
      <c r="H18" s="2"/>
      <c r="I18" s="2"/>
      <c r="J18" s="2"/>
    </row>
    <row r="19" spans="1:10">
      <c r="A19" s="20" t="s">
        <v>114</v>
      </c>
      <c r="B19" s="107" t="s">
        <v>304</v>
      </c>
      <c r="C19" s="23">
        <v>8035000</v>
      </c>
      <c r="D19" s="23"/>
      <c r="E19" s="23">
        <f t="shared" si="0"/>
        <v>3017778</v>
      </c>
      <c r="F19" s="2"/>
      <c r="G19" s="2"/>
      <c r="H19" s="2"/>
      <c r="I19" s="2"/>
      <c r="J19" s="2"/>
    </row>
    <row r="20" spans="1:10">
      <c r="A20" s="27"/>
      <c r="B20" s="108" t="s">
        <v>305</v>
      </c>
      <c r="C20" s="23">
        <v>1155000</v>
      </c>
      <c r="D20" s="23"/>
      <c r="E20" s="23">
        <f t="shared" si="0"/>
        <v>11052778</v>
      </c>
      <c r="F20" s="2"/>
      <c r="G20" s="2"/>
      <c r="H20" s="2"/>
      <c r="I20" s="2"/>
      <c r="J20" s="2"/>
    </row>
    <row r="21" spans="1:10">
      <c r="A21" s="27"/>
      <c r="B21" s="108" t="s">
        <v>306</v>
      </c>
      <c r="C21" s="23">
        <v>3940000</v>
      </c>
      <c r="D21" s="23"/>
      <c r="E21" s="23">
        <f t="shared" si="0"/>
        <v>12207778</v>
      </c>
      <c r="F21" s="2"/>
      <c r="G21" s="2"/>
      <c r="H21" s="2"/>
      <c r="I21" s="2"/>
      <c r="J21" s="2"/>
    </row>
    <row r="22" spans="1:10">
      <c r="A22" s="27"/>
      <c r="B22" s="108" t="s">
        <v>307</v>
      </c>
      <c r="C22" s="23">
        <v>100000</v>
      </c>
      <c r="D22" s="23"/>
      <c r="E22" s="23">
        <f t="shared" si="0"/>
        <v>16147778</v>
      </c>
      <c r="F22" s="2"/>
      <c r="G22" s="2"/>
      <c r="H22" s="2"/>
      <c r="I22" s="2"/>
      <c r="J22" s="2"/>
    </row>
    <row r="23" spans="1:10">
      <c r="A23" s="35"/>
      <c r="B23" s="109" t="s">
        <v>299</v>
      </c>
      <c r="C23" s="23"/>
      <c r="D23" s="23">
        <v>8190040</v>
      </c>
      <c r="E23" s="23">
        <f t="shared" si="0"/>
        <v>16247778</v>
      </c>
      <c r="F23" s="2"/>
      <c r="G23" s="2"/>
      <c r="H23" s="2"/>
      <c r="I23" s="2"/>
      <c r="J23" s="2"/>
    </row>
    <row r="24" spans="1:10">
      <c r="A24" s="20" t="s">
        <v>135</v>
      </c>
      <c r="B24" s="107" t="s">
        <v>308</v>
      </c>
      <c r="C24" s="23">
        <v>1772000</v>
      </c>
      <c r="D24" s="23"/>
      <c r="E24" s="23">
        <f t="shared" si="0"/>
        <v>8057738</v>
      </c>
      <c r="F24" s="2"/>
      <c r="G24" s="2"/>
      <c r="H24" s="2"/>
      <c r="I24" s="2"/>
      <c r="J24" s="2"/>
    </row>
    <row r="25" spans="1:10">
      <c r="A25" s="27"/>
      <c r="B25" s="108" t="s">
        <v>309</v>
      </c>
      <c r="C25" s="23">
        <v>3020000</v>
      </c>
      <c r="D25" s="23"/>
      <c r="E25" s="23">
        <f t="shared" si="0"/>
        <v>9829738</v>
      </c>
      <c r="F25" s="2"/>
      <c r="G25" s="2"/>
      <c r="H25" s="2"/>
      <c r="I25" s="2"/>
      <c r="J25" s="2"/>
    </row>
    <row r="26" spans="1:10">
      <c r="A26" s="27"/>
      <c r="B26" s="108" t="s">
        <v>310</v>
      </c>
      <c r="C26" s="23">
        <v>1870000</v>
      </c>
      <c r="D26" s="23"/>
      <c r="E26" s="23">
        <f t="shared" si="0"/>
        <v>12849738</v>
      </c>
      <c r="F26" s="2"/>
      <c r="G26" s="2"/>
      <c r="H26" s="2"/>
      <c r="I26" s="2"/>
      <c r="J26" s="2"/>
    </row>
    <row r="27" spans="1:10">
      <c r="A27" s="35"/>
      <c r="B27" s="109" t="s">
        <v>299</v>
      </c>
      <c r="C27" s="23"/>
      <c r="D27" s="23">
        <v>5753000</v>
      </c>
      <c r="E27" s="23">
        <f t="shared" si="0"/>
        <v>14719738</v>
      </c>
      <c r="F27" s="2"/>
      <c r="G27" s="2"/>
      <c r="H27" s="2"/>
      <c r="I27" s="2"/>
      <c r="J27" s="2"/>
    </row>
    <row r="28" spans="1:10">
      <c r="A28" s="20" t="s">
        <v>146</v>
      </c>
      <c r="B28" s="97"/>
      <c r="C28" s="23"/>
      <c r="D28" s="23"/>
      <c r="E28" s="23">
        <f t="shared" si="0"/>
        <v>8966738</v>
      </c>
      <c r="F28" s="2"/>
      <c r="G28" s="2"/>
      <c r="H28" s="2"/>
      <c r="I28" s="2"/>
      <c r="J28" s="2"/>
    </row>
    <row r="29" spans="1:10">
      <c r="A29" s="35"/>
      <c r="B29" s="109" t="s">
        <v>299</v>
      </c>
      <c r="C29" s="23"/>
      <c r="D29" s="23">
        <v>8361100</v>
      </c>
      <c r="E29" s="23">
        <f t="shared" si="0"/>
        <v>8966738</v>
      </c>
      <c r="F29" s="2"/>
      <c r="G29" s="2"/>
      <c r="H29" s="2"/>
      <c r="I29" s="2"/>
      <c r="J29" s="2"/>
    </row>
    <row r="30" spans="1:10">
      <c r="A30" s="20" t="s">
        <v>311</v>
      </c>
      <c r="B30" s="97" t="s">
        <v>312</v>
      </c>
      <c r="C30" s="23">
        <v>9545000</v>
      </c>
      <c r="D30" s="23"/>
      <c r="E30" s="23">
        <f t="shared" si="0"/>
        <v>605638</v>
      </c>
      <c r="F30" s="2"/>
      <c r="G30" s="2"/>
      <c r="H30" s="2"/>
      <c r="I30" s="2"/>
      <c r="J30" s="2"/>
    </row>
    <row r="31" spans="1:10">
      <c r="A31" s="35"/>
      <c r="B31" s="109" t="s">
        <v>299</v>
      </c>
      <c r="C31" s="23"/>
      <c r="D31" s="23"/>
      <c r="E31" s="23">
        <f t="shared" si="0"/>
        <v>10150638</v>
      </c>
      <c r="F31" s="2"/>
      <c r="G31" s="2"/>
      <c r="H31" s="2"/>
      <c r="I31" s="2"/>
      <c r="J31" s="2"/>
    </row>
    <row r="32" spans="1:10">
      <c r="A32" s="20" t="s">
        <v>170</v>
      </c>
      <c r="B32" s="110" t="s">
        <v>313</v>
      </c>
      <c r="C32" s="33">
        <v>100000</v>
      </c>
      <c r="D32" s="23"/>
      <c r="E32" s="23">
        <f t="shared" si="0"/>
        <v>10150638</v>
      </c>
      <c r="F32" s="2"/>
      <c r="G32" s="2"/>
      <c r="H32" s="2"/>
      <c r="I32" s="2"/>
      <c r="J32" s="2"/>
    </row>
    <row r="33" spans="1:10">
      <c r="A33" s="27"/>
      <c r="B33" s="111" t="s">
        <v>314</v>
      </c>
      <c r="C33" s="33">
        <v>100000</v>
      </c>
      <c r="D33" s="23"/>
      <c r="E33" s="23">
        <f t="shared" si="0"/>
        <v>10250638</v>
      </c>
      <c r="F33" s="2"/>
      <c r="G33" s="2"/>
      <c r="H33" s="2"/>
      <c r="I33" s="2"/>
      <c r="J33" s="2"/>
    </row>
    <row r="34" spans="1:10">
      <c r="A34" s="27"/>
      <c r="B34" s="108" t="s">
        <v>315</v>
      </c>
      <c r="C34" s="23">
        <v>690000</v>
      </c>
      <c r="D34" s="23"/>
      <c r="E34" s="23">
        <f t="shared" si="0"/>
        <v>10350638</v>
      </c>
      <c r="F34" s="2"/>
      <c r="G34" s="2"/>
      <c r="H34" s="2"/>
      <c r="I34" s="2"/>
      <c r="J34" s="2"/>
    </row>
    <row r="35" spans="1:10">
      <c r="A35" s="27"/>
      <c r="B35" s="108" t="s">
        <v>316</v>
      </c>
      <c r="C35" s="23">
        <v>990000</v>
      </c>
      <c r="D35" s="23"/>
      <c r="E35" s="23">
        <f t="shared" si="0"/>
        <v>11040638</v>
      </c>
      <c r="F35" s="2"/>
      <c r="G35" s="2"/>
      <c r="H35" s="2"/>
      <c r="I35" s="2"/>
      <c r="J35" s="2"/>
    </row>
    <row r="36" spans="1:10">
      <c r="A36" s="35"/>
      <c r="B36" s="109" t="s">
        <v>299</v>
      </c>
      <c r="C36" s="23"/>
      <c r="D36" s="23">
        <v>1239200</v>
      </c>
      <c r="E36" s="23">
        <f t="shared" si="0"/>
        <v>12030638</v>
      </c>
      <c r="F36" s="2"/>
      <c r="G36" s="2"/>
      <c r="H36" s="2"/>
      <c r="I36" s="2"/>
      <c r="J36" s="2"/>
    </row>
    <row r="37" spans="1:10">
      <c r="A37" s="20" t="s">
        <v>176</v>
      </c>
      <c r="B37" s="107" t="s">
        <v>317</v>
      </c>
      <c r="C37" s="23">
        <v>5499000</v>
      </c>
      <c r="D37" s="23"/>
      <c r="E37" s="23">
        <f t="shared" si="0"/>
        <v>10791438</v>
      </c>
      <c r="F37" s="2"/>
      <c r="G37" s="2"/>
      <c r="H37" s="2"/>
      <c r="I37" s="2"/>
      <c r="J37" s="2"/>
    </row>
    <row r="38" spans="1:10">
      <c r="A38" s="27"/>
      <c r="B38" s="111" t="s">
        <v>318</v>
      </c>
      <c r="C38" s="48">
        <v>100000</v>
      </c>
      <c r="D38" s="4"/>
      <c r="E38" s="23">
        <f t="shared" si="0"/>
        <v>16290438</v>
      </c>
      <c r="F38" s="2"/>
      <c r="G38" s="2"/>
      <c r="H38" s="2"/>
      <c r="I38" s="2"/>
      <c r="J38" s="2"/>
    </row>
    <row r="39" spans="1:10">
      <c r="A39" s="27"/>
      <c r="B39" s="108" t="s">
        <v>319</v>
      </c>
      <c r="C39" s="4">
        <v>2385000</v>
      </c>
      <c r="D39" s="4"/>
      <c r="E39" s="23">
        <f t="shared" ref="E39:E70" si="1">E38+C38-D38</f>
        <v>16390438</v>
      </c>
      <c r="F39" s="2"/>
      <c r="G39" s="2"/>
      <c r="H39" s="2"/>
      <c r="I39" s="2"/>
      <c r="J39" s="2"/>
    </row>
    <row r="40" spans="1:10">
      <c r="A40" s="27"/>
      <c r="B40" s="108" t="s">
        <v>320</v>
      </c>
      <c r="C40" s="4">
        <v>21400000</v>
      </c>
      <c r="D40" s="4"/>
      <c r="E40" s="23">
        <f t="shared" si="1"/>
        <v>18775438</v>
      </c>
      <c r="F40" s="2"/>
      <c r="G40" s="2"/>
      <c r="H40" s="2"/>
      <c r="I40" s="2"/>
      <c r="J40" s="2"/>
    </row>
    <row r="41" spans="1:10">
      <c r="A41" s="27"/>
      <c r="B41" s="108" t="s">
        <v>321</v>
      </c>
      <c r="C41" s="4">
        <v>2500000</v>
      </c>
      <c r="D41" s="4"/>
      <c r="E41" s="23">
        <f t="shared" si="1"/>
        <v>40175438</v>
      </c>
      <c r="F41" s="2"/>
      <c r="G41" s="2"/>
      <c r="H41" s="2"/>
      <c r="I41" s="2"/>
      <c r="J41" s="2"/>
    </row>
    <row r="42" spans="1:10">
      <c r="A42" s="27"/>
      <c r="B42" s="108" t="s">
        <v>322</v>
      </c>
      <c r="C42" s="4">
        <v>1132000</v>
      </c>
      <c r="D42" s="4"/>
      <c r="E42" s="23">
        <f t="shared" si="1"/>
        <v>42675438</v>
      </c>
      <c r="F42" s="2"/>
      <c r="G42" s="2"/>
      <c r="H42" s="2"/>
      <c r="I42" s="2"/>
      <c r="J42" s="2"/>
    </row>
    <row r="43" spans="1:10">
      <c r="A43" s="27"/>
      <c r="B43" s="108" t="s">
        <v>323</v>
      </c>
      <c r="C43" s="4">
        <v>98780</v>
      </c>
      <c r="D43" s="4"/>
      <c r="E43" s="23">
        <f t="shared" si="1"/>
        <v>43807438</v>
      </c>
      <c r="F43" s="2"/>
      <c r="G43" s="2"/>
      <c r="H43" s="2"/>
      <c r="I43" s="2"/>
      <c r="J43" s="2"/>
    </row>
    <row r="44" spans="1:10">
      <c r="A44" s="35"/>
      <c r="B44" s="109" t="s">
        <v>299</v>
      </c>
      <c r="C44" s="4"/>
      <c r="D44" s="4">
        <v>10073180</v>
      </c>
      <c r="E44" s="23">
        <f t="shared" si="1"/>
        <v>43906218</v>
      </c>
      <c r="F44" s="2"/>
      <c r="G44" s="2"/>
      <c r="H44" s="2"/>
      <c r="I44" s="2"/>
      <c r="J44" s="2"/>
    </row>
    <row r="45" spans="1:10">
      <c r="A45" s="20" t="s">
        <v>189</v>
      </c>
      <c r="B45" s="112" t="s">
        <v>324</v>
      </c>
      <c r="C45" s="4">
        <v>4105000</v>
      </c>
      <c r="D45" s="4"/>
      <c r="E45" s="23">
        <f t="shared" si="1"/>
        <v>33833038</v>
      </c>
      <c r="F45" s="2"/>
      <c r="G45" s="2"/>
      <c r="H45" s="2"/>
      <c r="I45" s="2"/>
      <c r="J45" s="2"/>
    </row>
    <row r="46" spans="1:10">
      <c r="A46" s="27"/>
      <c r="B46" s="113" t="s">
        <v>312</v>
      </c>
      <c r="C46" s="4">
        <v>2100000</v>
      </c>
      <c r="D46" s="4"/>
      <c r="E46" s="23">
        <f t="shared" si="1"/>
        <v>37938038</v>
      </c>
      <c r="F46" s="2"/>
      <c r="G46" s="2"/>
      <c r="H46" s="2"/>
      <c r="I46" s="2"/>
      <c r="J46" s="2"/>
    </row>
    <row r="47" spans="1:10">
      <c r="A47" s="27"/>
      <c r="B47" s="113" t="s">
        <v>149</v>
      </c>
      <c r="C47" s="4">
        <v>311000</v>
      </c>
      <c r="D47" s="4"/>
      <c r="E47" s="23">
        <f t="shared" si="1"/>
        <v>40038038</v>
      </c>
      <c r="F47" s="2"/>
      <c r="G47" s="2"/>
      <c r="H47" s="2"/>
      <c r="I47" s="2"/>
      <c r="J47" s="2"/>
    </row>
    <row r="48" spans="1:10">
      <c r="A48" s="27"/>
      <c r="B48" s="113" t="s">
        <v>325</v>
      </c>
      <c r="C48" s="4">
        <v>1307500</v>
      </c>
      <c r="D48" s="4"/>
      <c r="E48" s="23">
        <f t="shared" si="1"/>
        <v>40349038</v>
      </c>
      <c r="F48" s="2"/>
      <c r="G48" s="2"/>
      <c r="H48" s="2"/>
      <c r="I48" s="2"/>
      <c r="J48" s="2"/>
    </row>
    <row r="49" spans="1:10">
      <c r="A49" s="27"/>
      <c r="B49" s="113" t="s">
        <v>192</v>
      </c>
      <c r="C49" s="4">
        <v>210000</v>
      </c>
      <c r="D49" s="4"/>
      <c r="E49" s="23">
        <f t="shared" si="1"/>
        <v>41656538</v>
      </c>
      <c r="F49" s="2"/>
      <c r="G49" s="2"/>
      <c r="H49" s="2"/>
      <c r="I49" s="2"/>
      <c r="J49" s="2"/>
    </row>
    <row r="50" spans="1:10">
      <c r="A50" s="35"/>
      <c r="B50" s="109" t="s">
        <v>299</v>
      </c>
      <c r="C50" s="4"/>
      <c r="D50" s="4">
        <v>2146575</v>
      </c>
      <c r="E50" s="23">
        <f t="shared" si="1"/>
        <v>41866538</v>
      </c>
      <c r="F50" s="2"/>
      <c r="G50" s="2"/>
      <c r="H50" s="2"/>
      <c r="I50" s="2"/>
      <c r="J50" s="2"/>
    </row>
    <row r="51" spans="1:10">
      <c r="A51" s="20" t="s">
        <v>195</v>
      </c>
      <c r="B51" s="112" t="s">
        <v>326</v>
      </c>
      <c r="C51" s="4">
        <v>1765000</v>
      </c>
      <c r="D51" s="4"/>
      <c r="E51" s="23">
        <f t="shared" si="1"/>
        <v>39719963</v>
      </c>
      <c r="F51" s="2"/>
      <c r="G51" s="2"/>
      <c r="H51" s="2"/>
      <c r="I51" s="2"/>
      <c r="J51" s="2"/>
    </row>
    <row r="52" spans="1:10">
      <c r="A52" s="27"/>
      <c r="B52" s="113" t="s">
        <v>317</v>
      </c>
      <c r="C52" s="4">
        <v>690000</v>
      </c>
      <c r="D52" s="4"/>
      <c r="E52" s="23">
        <f t="shared" si="1"/>
        <v>41484963</v>
      </c>
      <c r="F52" s="2"/>
      <c r="G52" s="2"/>
      <c r="H52" s="2"/>
      <c r="I52" s="2"/>
      <c r="J52" s="2"/>
    </row>
    <row r="53" spans="1:10">
      <c r="A53" s="27"/>
      <c r="B53" s="114" t="s">
        <v>327</v>
      </c>
      <c r="C53" s="48">
        <v>100000</v>
      </c>
      <c r="D53" s="4"/>
      <c r="E53" s="23">
        <f t="shared" si="1"/>
        <v>42174963</v>
      </c>
      <c r="F53" s="2"/>
      <c r="G53" s="2"/>
      <c r="H53" s="2"/>
      <c r="I53" s="2"/>
      <c r="J53" s="2"/>
    </row>
    <row r="54" spans="1:10">
      <c r="A54" s="27"/>
      <c r="B54" s="113" t="s">
        <v>202</v>
      </c>
      <c r="C54" s="4">
        <v>15600</v>
      </c>
      <c r="D54" s="4"/>
      <c r="E54" s="23">
        <f t="shared" si="1"/>
        <v>42274963</v>
      </c>
      <c r="F54" s="2"/>
      <c r="G54" s="2"/>
      <c r="H54" s="2"/>
      <c r="I54" s="2"/>
      <c r="J54" s="2"/>
    </row>
    <row r="55" spans="1:10">
      <c r="A55" s="27"/>
      <c r="B55" s="114" t="s">
        <v>328</v>
      </c>
      <c r="C55" s="48">
        <v>100000</v>
      </c>
      <c r="D55" s="4"/>
      <c r="E55" s="23">
        <f t="shared" si="1"/>
        <v>42290563</v>
      </c>
      <c r="F55" s="2"/>
      <c r="G55" s="2"/>
      <c r="H55" s="2"/>
      <c r="I55" s="2"/>
      <c r="J55" s="2"/>
    </row>
    <row r="56" spans="1:10">
      <c r="A56" s="35"/>
      <c r="B56" s="109" t="s">
        <v>299</v>
      </c>
      <c r="C56" s="4"/>
      <c r="D56" s="4">
        <v>7618750</v>
      </c>
      <c r="E56" s="23">
        <f t="shared" si="1"/>
        <v>42390563</v>
      </c>
      <c r="F56" s="2"/>
      <c r="G56" s="2"/>
      <c r="H56" s="2"/>
      <c r="I56" s="2"/>
      <c r="J56" s="2"/>
    </row>
    <row r="57" spans="1:10">
      <c r="A57" s="20" t="s">
        <v>208</v>
      </c>
      <c r="B57" s="3" t="s">
        <v>329</v>
      </c>
      <c r="C57" s="4">
        <v>4035000</v>
      </c>
      <c r="D57" s="4"/>
      <c r="E57" s="23">
        <f t="shared" si="1"/>
        <v>34771813</v>
      </c>
      <c r="F57" s="2"/>
      <c r="G57" s="2"/>
      <c r="H57" s="2"/>
      <c r="I57" s="2"/>
      <c r="J57" s="2"/>
    </row>
    <row r="58" spans="1:10">
      <c r="A58" s="35"/>
      <c r="B58" s="109" t="s">
        <v>299</v>
      </c>
      <c r="C58" s="4"/>
      <c r="D58" s="4">
        <v>202360</v>
      </c>
      <c r="E58" s="23">
        <f t="shared" si="1"/>
        <v>38806813</v>
      </c>
      <c r="F58" s="2"/>
      <c r="G58" s="2"/>
      <c r="H58" s="2"/>
      <c r="I58" s="2"/>
      <c r="J58" s="2"/>
    </row>
    <row r="59" spans="1:10">
      <c r="A59" s="20" t="s">
        <v>215</v>
      </c>
      <c r="B59" s="3" t="s">
        <v>330</v>
      </c>
      <c r="C59" s="4">
        <v>2500000</v>
      </c>
      <c r="D59" s="4"/>
      <c r="E59" s="23">
        <f t="shared" si="1"/>
        <v>38604453</v>
      </c>
      <c r="F59" s="2"/>
      <c r="G59" s="2"/>
      <c r="H59" s="2"/>
      <c r="I59" s="2"/>
      <c r="J59" s="2"/>
    </row>
    <row r="60" spans="1:10">
      <c r="A60" s="35"/>
      <c r="B60" s="109" t="s">
        <v>299</v>
      </c>
      <c r="C60" s="4"/>
      <c r="D60" s="4">
        <v>10802350</v>
      </c>
      <c r="E60" s="23">
        <f t="shared" si="1"/>
        <v>41104453</v>
      </c>
      <c r="F60" s="2"/>
      <c r="G60" s="2"/>
      <c r="H60" s="2"/>
      <c r="I60" s="2"/>
      <c r="J60" s="2"/>
    </row>
    <row r="61" spans="1:10">
      <c r="A61" s="20" t="s">
        <v>331</v>
      </c>
      <c r="B61" s="3"/>
      <c r="C61" s="4"/>
      <c r="D61" s="4"/>
      <c r="E61" s="23">
        <f t="shared" si="1"/>
        <v>30302103</v>
      </c>
      <c r="F61" s="2"/>
      <c r="G61" s="2"/>
      <c r="H61" s="2"/>
      <c r="I61" s="2"/>
      <c r="J61" s="2"/>
    </row>
    <row r="62" spans="1:10">
      <c r="A62" s="35"/>
      <c r="B62" s="109" t="s">
        <v>299</v>
      </c>
      <c r="C62" s="4"/>
      <c r="D62" s="4"/>
      <c r="E62" s="23">
        <f t="shared" si="1"/>
        <v>30302103</v>
      </c>
      <c r="F62" s="2"/>
      <c r="G62" s="2"/>
      <c r="H62" s="2"/>
      <c r="I62" s="2"/>
      <c r="J62" s="2"/>
    </row>
    <row r="63" spans="1:10">
      <c r="A63" s="20" t="s">
        <v>332</v>
      </c>
      <c r="B63" s="3"/>
      <c r="C63" s="4"/>
      <c r="D63" s="4"/>
      <c r="E63" s="23">
        <f t="shared" si="1"/>
        <v>30302103</v>
      </c>
      <c r="F63" s="2"/>
      <c r="G63" s="2"/>
      <c r="H63" s="2"/>
      <c r="I63" s="2"/>
      <c r="J63" s="2"/>
    </row>
    <row r="64" spans="1:10">
      <c r="A64" s="35"/>
      <c r="B64" s="109" t="s">
        <v>299</v>
      </c>
      <c r="C64" s="4"/>
      <c r="D64" s="4"/>
      <c r="E64" s="23">
        <f t="shared" si="1"/>
        <v>30302103</v>
      </c>
      <c r="F64" s="2"/>
      <c r="G64" s="2"/>
      <c r="H64" s="2"/>
      <c r="I64" s="2"/>
      <c r="J64" s="2"/>
    </row>
    <row r="65" spans="1:10">
      <c r="A65" s="20" t="s">
        <v>240</v>
      </c>
      <c r="B65" s="3"/>
      <c r="C65" s="4"/>
      <c r="D65" s="4"/>
      <c r="E65" s="23">
        <f t="shared" si="1"/>
        <v>30302103</v>
      </c>
      <c r="F65" s="2"/>
      <c r="G65" s="2"/>
      <c r="H65" s="2"/>
      <c r="I65" s="2"/>
      <c r="J65" s="2"/>
    </row>
    <row r="66" spans="1:10">
      <c r="A66" s="35"/>
      <c r="B66" s="109" t="s">
        <v>299</v>
      </c>
      <c r="C66" s="4"/>
      <c r="D66" s="4">
        <v>557180</v>
      </c>
      <c r="E66" s="23">
        <f t="shared" si="1"/>
        <v>30302103</v>
      </c>
      <c r="F66" s="2"/>
      <c r="G66" s="2"/>
      <c r="H66" s="2"/>
      <c r="I66" s="2"/>
      <c r="J66" s="2"/>
    </row>
    <row r="67" spans="1:10">
      <c r="A67" s="20" t="s">
        <v>246</v>
      </c>
      <c r="B67" s="112" t="s">
        <v>333</v>
      </c>
      <c r="C67" s="4">
        <v>3075000</v>
      </c>
      <c r="D67" s="4"/>
      <c r="E67" s="23">
        <f t="shared" si="1"/>
        <v>29744923</v>
      </c>
      <c r="F67" s="2"/>
      <c r="G67" s="2"/>
      <c r="H67" s="2"/>
      <c r="I67" s="2"/>
      <c r="J67" s="2"/>
    </row>
    <row r="68" spans="1:10">
      <c r="A68" s="27"/>
      <c r="B68" s="114" t="s">
        <v>334</v>
      </c>
      <c r="C68" s="48">
        <v>100000</v>
      </c>
      <c r="D68" s="4"/>
      <c r="E68" s="23">
        <f t="shared" si="1"/>
        <v>32819923</v>
      </c>
      <c r="F68" s="2"/>
      <c r="G68" s="2"/>
      <c r="H68" s="2"/>
      <c r="I68" s="2"/>
      <c r="J68" s="2"/>
    </row>
    <row r="69" spans="1:10">
      <c r="A69" s="27"/>
      <c r="B69" s="113" t="s">
        <v>335</v>
      </c>
      <c r="C69" s="4">
        <v>2050000</v>
      </c>
      <c r="D69" s="4"/>
      <c r="E69" s="23">
        <f t="shared" si="1"/>
        <v>32919923</v>
      </c>
      <c r="F69" s="2"/>
      <c r="G69" s="2"/>
      <c r="H69" s="2"/>
      <c r="I69" s="2"/>
      <c r="J69" s="2"/>
    </row>
    <row r="70" spans="1:10">
      <c r="A70" s="27"/>
      <c r="B70" s="113" t="s">
        <v>336</v>
      </c>
      <c r="C70" s="4">
        <v>3700000</v>
      </c>
      <c r="D70" s="4"/>
      <c r="E70" s="23">
        <f t="shared" si="1"/>
        <v>34969923</v>
      </c>
      <c r="F70" s="2"/>
      <c r="G70" s="2"/>
      <c r="H70" s="2"/>
      <c r="I70" s="2"/>
      <c r="J70" s="2"/>
    </row>
    <row r="71" spans="1:10">
      <c r="A71" s="27"/>
      <c r="B71" s="113" t="s">
        <v>337</v>
      </c>
      <c r="C71" s="4">
        <v>2055000</v>
      </c>
      <c r="D71" s="4"/>
      <c r="E71" s="23">
        <f t="shared" ref="E71:E102" si="2">E70+C70-D70</f>
        <v>38669923</v>
      </c>
      <c r="F71" s="2"/>
      <c r="G71" s="2"/>
      <c r="H71" s="2"/>
      <c r="I71" s="2"/>
      <c r="J71" s="2"/>
    </row>
    <row r="72" spans="1:10">
      <c r="A72" s="35"/>
      <c r="B72" s="109" t="s">
        <v>299</v>
      </c>
      <c r="C72" s="4"/>
      <c r="D72" s="4">
        <v>725123</v>
      </c>
      <c r="E72" s="23">
        <f t="shared" si="2"/>
        <v>40724923</v>
      </c>
      <c r="F72" s="2"/>
      <c r="G72" s="2"/>
      <c r="H72" s="2"/>
      <c r="I72" s="2"/>
      <c r="J72" s="2"/>
    </row>
    <row r="73" spans="1:10">
      <c r="A73" s="20" t="s">
        <v>250</v>
      </c>
      <c r="B73" s="112" t="s">
        <v>338</v>
      </c>
      <c r="C73" s="4">
        <v>2000000</v>
      </c>
      <c r="D73" s="4"/>
      <c r="E73" s="23">
        <f t="shared" si="2"/>
        <v>39999800</v>
      </c>
      <c r="F73" s="2"/>
      <c r="G73" s="2"/>
      <c r="H73" s="2"/>
      <c r="I73" s="2"/>
      <c r="J73" s="2"/>
    </row>
    <row r="74" spans="1:10">
      <c r="A74" s="27"/>
      <c r="B74" s="113" t="s">
        <v>339</v>
      </c>
      <c r="C74" s="4">
        <v>1500000</v>
      </c>
      <c r="D74" s="4"/>
      <c r="E74" s="23">
        <f t="shared" si="2"/>
        <v>41999800</v>
      </c>
      <c r="F74" s="2"/>
      <c r="G74" s="2"/>
      <c r="H74" s="2"/>
      <c r="I74" s="2"/>
      <c r="J74" s="2"/>
    </row>
    <row r="75" spans="1:10">
      <c r="A75" s="27"/>
      <c r="B75" s="113" t="s">
        <v>340</v>
      </c>
      <c r="C75" s="4">
        <v>3755000</v>
      </c>
      <c r="D75" s="4"/>
      <c r="E75" s="23">
        <f t="shared" si="2"/>
        <v>43499800</v>
      </c>
      <c r="F75" s="2"/>
      <c r="G75" s="2"/>
      <c r="H75" s="2"/>
      <c r="I75" s="2"/>
      <c r="J75" s="2"/>
    </row>
    <row r="76" spans="1:10">
      <c r="A76" s="27"/>
      <c r="B76" s="113" t="s">
        <v>341</v>
      </c>
      <c r="C76" s="4">
        <v>2110000</v>
      </c>
      <c r="D76" s="4"/>
      <c r="E76" s="23">
        <f t="shared" si="2"/>
        <v>47254800</v>
      </c>
      <c r="F76" s="2"/>
      <c r="G76" s="2"/>
      <c r="H76" s="2"/>
      <c r="I76" s="2"/>
      <c r="J76" s="2"/>
    </row>
    <row r="77" spans="1:10">
      <c r="A77" s="35"/>
      <c r="B77" s="109" t="s">
        <v>299</v>
      </c>
      <c r="C77" s="4"/>
      <c r="D77" s="4">
        <v>7392905</v>
      </c>
      <c r="E77" s="23">
        <f t="shared" si="2"/>
        <v>49364800</v>
      </c>
      <c r="F77" s="2"/>
      <c r="G77" s="2"/>
      <c r="H77" s="2"/>
      <c r="I77" s="2"/>
      <c r="J77" s="2"/>
    </row>
    <row r="78" spans="1:10">
      <c r="A78" s="20" t="s">
        <v>260</v>
      </c>
      <c r="B78" s="112" t="s">
        <v>342</v>
      </c>
      <c r="C78" s="4">
        <v>240000</v>
      </c>
      <c r="D78" s="4"/>
      <c r="E78" s="23">
        <f t="shared" si="2"/>
        <v>41971895</v>
      </c>
      <c r="F78" s="2"/>
      <c r="G78" s="2"/>
      <c r="H78" s="2"/>
      <c r="I78" s="2"/>
      <c r="J78" s="2"/>
    </row>
    <row r="79" spans="1:10">
      <c r="A79" s="27"/>
      <c r="B79" s="114" t="s">
        <v>343</v>
      </c>
      <c r="C79" s="48">
        <v>100000</v>
      </c>
      <c r="D79" s="4"/>
      <c r="E79" s="23">
        <f t="shared" si="2"/>
        <v>42211895</v>
      </c>
      <c r="F79" s="2"/>
      <c r="G79" s="2"/>
      <c r="H79" s="2"/>
      <c r="I79" s="2"/>
      <c r="J79" s="2"/>
    </row>
    <row r="80" spans="1:10">
      <c r="A80" s="27"/>
      <c r="B80" s="113" t="s">
        <v>344</v>
      </c>
      <c r="C80" s="4">
        <v>750000</v>
      </c>
      <c r="D80" s="4"/>
      <c r="E80" s="23">
        <f t="shared" si="2"/>
        <v>42311895</v>
      </c>
      <c r="F80" s="2"/>
      <c r="G80" s="2"/>
      <c r="H80" s="2"/>
      <c r="I80" s="2"/>
      <c r="J80" s="2"/>
    </row>
    <row r="81" spans="1:10">
      <c r="A81" s="27"/>
      <c r="B81" s="113" t="s">
        <v>345</v>
      </c>
      <c r="C81" s="4">
        <v>2480000</v>
      </c>
      <c r="D81" s="4"/>
      <c r="E81" s="23">
        <f t="shared" si="2"/>
        <v>43061895</v>
      </c>
      <c r="F81" s="2"/>
      <c r="G81" s="2"/>
      <c r="H81" s="2"/>
      <c r="I81" s="2"/>
      <c r="J81" s="2"/>
    </row>
    <row r="82" spans="1:10">
      <c r="A82" s="35"/>
      <c r="B82" s="109" t="s">
        <v>299</v>
      </c>
      <c r="C82" s="4"/>
      <c r="D82" s="4">
        <v>344650</v>
      </c>
      <c r="E82" s="23">
        <f t="shared" si="2"/>
        <v>45541895</v>
      </c>
      <c r="F82" s="2"/>
      <c r="G82" s="2"/>
      <c r="H82" s="2"/>
      <c r="I82" s="2"/>
      <c r="J82" s="2"/>
    </row>
    <row r="83" spans="1:10">
      <c r="A83" s="20" t="s">
        <v>264</v>
      </c>
      <c r="B83" s="112" t="s">
        <v>346</v>
      </c>
      <c r="C83" s="4">
        <v>446000</v>
      </c>
      <c r="D83" s="4"/>
      <c r="E83" s="23">
        <f t="shared" si="2"/>
        <v>45197245</v>
      </c>
      <c r="F83" s="2"/>
      <c r="G83" s="2"/>
      <c r="H83" s="2"/>
      <c r="I83" s="2"/>
      <c r="J83" s="2"/>
    </row>
    <row r="84" spans="1:10">
      <c r="A84" s="27"/>
      <c r="B84" s="113" t="s">
        <v>347</v>
      </c>
      <c r="C84" s="4">
        <v>13936000</v>
      </c>
      <c r="D84" s="4"/>
      <c r="E84" s="23">
        <f t="shared" si="2"/>
        <v>45643245</v>
      </c>
      <c r="F84" s="2"/>
      <c r="G84" s="2"/>
      <c r="H84" s="2"/>
      <c r="I84" s="2"/>
      <c r="J84" s="2"/>
    </row>
    <row r="85" spans="1:10">
      <c r="A85" s="35"/>
      <c r="B85" s="109" t="s">
        <v>299</v>
      </c>
      <c r="C85" s="4"/>
      <c r="D85" s="4">
        <v>4678151</v>
      </c>
      <c r="E85" s="23">
        <f t="shared" si="2"/>
        <v>59579245</v>
      </c>
      <c r="F85" s="2"/>
      <c r="G85" s="2"/>
      <c r="H85" s="2"/>
      <c r="I85" s="2"/>
      <c r="J85" s="2"/>
    </row>
    <row r="86" spans="1:10">
      <c r="A86" s="20" t="s">
        <v>277</v>
      </c>
      <c r="B86" s="3"/>
      <c r="C86" s="4"/>
      <c r="D86" s="4"/>
      <c r="E86" s="23">
        <f t="shared" si="2"/>
        <v>54901094</v>
      </c>
      <c r="F86" s="2"/>
      <c r="G86" s="2"/>
      <c r="H86" s="2"/>
      <c r="I86" s="2"/>
      <c r="J86" s="2"/>
    </row>
    <row r="87" spans="1:10">
      <c r="A87" s="35"/>
      <c r="B87" s="109" t="s">
        <v>299</v>
      </c>
      <c r="C87" s="4"/>
      <c r="D87" s="4">
        <v>322000</v>
      </c>
      <c r="E87" s="23">
        <f t="shared" si="2"/>
        <v>54901094</v>
      </c>
      <c r="F87" s="2"/>
      <c r="G87" s="2"/>
      <c r="H87" s="2"/>
      <c r="I87" s="2"/>
      <c r="J87" s="2"/>
    </row>
    <row r="88" spans="1:10">
      <c r="A88" s="3" t="s">
        <v>280</v>
      </c>
      <c r="B88" s="3" t="s">
        <v>316</v>
      </c>
      <c r="C88" s="4">
        <v>64000</v>
      </c>
      <c r="D88" s="4"/>
      <c r="E88" s="23">
        <f t="shared" si="2"/>
        <v>54579094</v>
      </c>
      <c r="F88" s="2"/>
      <c r="G88" s="2"/>
      <c r="H88" s="2"/>
      <c r="I88" s="2"/>
      <c r="J88" s="2"/>
    </row>
    <row r="89" spans="1:10">
      <c r="A89" s="3"/>
      <c r="B89" s="109" t="s">
        <v>299</v>
      </c>
      <c r="C89" s="4"/>
      <c r="D89" s="4">
        <v>7362560</v>
      </c>
      <c r="E89" s="23">
        <f t="shared" si="2"/>
        <v>54643094</v>
      </c>
      <c r="F89" s="2"/>
      <c r="G89" s="2"/>
      <c r="H89" s="2"/>
      <c r="I89" s="2"/>
      <c r="J89" s="2"/>
    </row>
    <row r="90" spans="1:10">
      <c r="A90" s="3" t="s">
        <v>348</v>
      </c>
      <c r="B90" s="3"/>
      <c r="C90" s="4"/>
      <c r="D90" s="4"/>
      <c r="E90" s="23">
        <f t="shared" si="2"/>
        <v>47280534</v>
      </c>
      <c r="F90" s="2"/>
      <c r="G90" s="2"/>
      <c r="H90" s="2"/>
      <c r="I90" s="2"/>
      <c r="J90" s="2"/>
    </row>
    <row r="91" spans="1:10">
      <c r="A91" s="3"/>
      <c r="B91" s="109" t="s">
        <v>299</v>
      </c>
      <c r="C91" s="4"/>
      <c r="D91" s="4"/>
      <c r="E91" s="23">
        <f t="shared" si="2"/>
        <v>47280534</v>
      </c>
      <c r="F91" s="2"/>
      <c r="G91" s="2"/>
      <c r="H91" s="2"/>
      <c r="I91" s="2"/>
      <c r="J91" s="2"/>
    </row>
    <row r="92" spans="1:10">
      <c r="A92" s="3" t="s">
        <v>349</v>
      </c>
      <c r="B92" s="3"/>
      <c r="C92" s="4"/>
      <c r="D92" s="4"/>
      <c r="E92" s="23">
        <f t="shared" si="2"/>
        <v>47280534</v>
      </c>
      <c r="F92" s="2"/>
      <c r="G92" s="2"/>
      <c r="H92" s="2"/>
      <c r="I92" s="2"/>
      <c r="J92" s="2"/>
    </row>
    <row r="93" spans="1:10">
      <c r="A93" s="3"/>
      <c r="B93" s="109" t="s">
        <v>299</v>
      </c>
      <c r="C93" s="4"/>
      <c r="D93" s="4"/>
      <c r="E93" s="23">
        <f t="shared" si="2"/>
        <v>47280534</v>
      </c>
      <c r="F93" s="2"/>
      <c r="G93" s="2"/>
      <c r="H93" s="2"/>
      <c r="I93" s="2"/>
      <c r="J93" s="2"/>
    </row>
    <row r="94" spans="1:10">
      <c r="A94" s="3" t="s">
        <v>350</v>
      </c>
      <c r="B94" s="3"/>
      <c r="C94" s="4"/>
      <c r="D94" s="4"/>
      <c r="E94" s="23">
        <f t="shared" si="2"/>
        <v>47280534</v>
      </c>
      <c r="F94" s="2"/>
      <c r="G94" s="2"/>
      <c r="H94" s="2"/>
      <c r="I94" s="2"/>
      <c r="J94" s="2"/>
    </row>
    <row r="95" spans="1:10">
      <c r="A95" s="3"/>
      <c r="B95" s="109" t="s">
        <v>299</v>
      </c>
      <c r="C95" s="4"/>
      <c r="D95" s="4"/>
      <c r="E95" s="23">
        <f t="shared" si="2"/>
        <v>47280534</v>
      </c>
      <c r="F95" s="2"/>
      <c r="G95" s="2"/>
      <c r="H95" s="2"/>
      <c r="I95" s="2"/>
      <c r="J95" s="2"/>
    </row>
    <row r="96" spans="1:10">
      <c r="A96" s="3" t="s">
        <v>351</v>
      </c>
      <c r="B96" s="3"/>
      <c r="C96" s="4"/>
      <c r="D96" s="4"/>
      <c r="E96" s="23">
        <f t="shared" si="2"/>
        <v>47280534</v>
      </c>
      <c r="F96" s="2"/>
      <c r="G96" s="2"/>
      <c r="H96" s="2"/>
      <c r="I96" s="2"/>
      <c r="J96" s="2"/>
    </row>
    <row r="97" spans="1:10">
      <c r="A97" s="3"/>
      <c r="B97" s="109" t="s">
        <v>299</v>
      </c>
      <c r="C97" s="4"/>
      <c r="D97" s="4"/>
      <c r="E97" s="23">
        <f t="shared" si="2"/>
        <v>47280534</v>
      </c>
      <c r="F97" s="2"/>
      <c r="G97" s="2"/>
      <c r="H97" s="2"/>
      <c r="I97" s="2"/>
      <c r="J97" s="2"/>
    </row>
    <row r="98" spans="1:10">
      <c r="A98" s="3" t="s">
        <v>352</v>
      </c>
      <c r="B98" s="3"/>
      <c r="C98" s="4"/>
      <c r="D98" s="4"/>
      <c r="E98" s="23">
        <f t="shared" si="2"/>
        <v>47280534</v>
      </c>
      <c r="F98" s="2"/>
      <c r="G98" s="2"/>
      <c r="H98" s="2"/>
      <c r="I98" s="2"/>
      <c r="J98" s="2"/>
    </row>
    <row r="99" spans="1:10">
      <c r="A99" s="3"/>
      <c r="B99" s="109" t="s">
        <v>299</v>
      </c>
      <c r="C99" s="4"/>
      <c r="D99" s="4"/>
      <c r="E99" s="23">
        <f t="shared" si="2"/>
        <v>47280534</v>
      </c>
      <c r="F99" s="2"/>
      <c r="G99" s="2"/>
      <c r="H99" s="2"/>
      <c r="I99" s="2"/>
      <c r="J99" s="2"/>
    </row>
    <row r="100" spans="1:10">
      <c r="A100" s="3" t="s">
        <v>353</v>
      </c>
      <c r="B100" s="3"/>
      <c r="C100" s="4"/>
      <c r="D100" s="4"/>
      <c r="E100" s="23">
        <f t="shared" si="2"/>
        <v>47280534</v>
      </c>
      <c r="F100" s="2"/>
      <c r="G100" s="2"/>
      <c r="H100" s="2"/>
      <c r="I100" s="2"/>
      <c r="J100" s="2"/>
    </row>
    <row r="101" spans="1:10">
      <c r="A101" s="3"/>
      <c r="B101" s="109" t="s">
        <v>299</v>
      </c>
      <c r="C101" s="4"/>
      <c r="D101" s="4"/>
      <c r="E101" s="23">
        <f t="shared" si="2"/>
        <v>47280534</v>
      </c>
      <c r="F101" s="2"/>
      <c r="G101" s="2"/>
      <c r="H101" s="2"/>
      <c r="I101" s="2"/>
      <c r="J101" s="2"/>
    </row>
    <row r="102" spans="1:10">
      <c r="A102" s="3" t="s">
        <v>354</v>
      </c>
      <c r="B102" s="3"/>
      <c r="C102" s="4"/>
      <c r="D102" s="4"/>
      <c r="E102" s="23">
        <f t="shared" si="2"/>
        <v>47280534</v>
      </c>
      <c r="F102" s="2"/>
      <c r="G102" s="2"/>
      <c r="H102" s="2"/>
      <c r="I102" s="2"/>
      <c r="J102" s="2"/>
    </row>
    <row r="103" spans="1:10">
      <c r="A103" s="3"/>
      <c r="B103" s="109" t="s">
        <v>299</v>
      </c>
      <c r="C103" s="4"/>
      <c r="D103" s="4"/>
      <c r="E103" s="23">
        <f>E102+C102-D102</f>
        <v>47280534</v>
      </c>
      <c r="F103" s="2"/>
      <c r="G103" s="2"/>
      <c r="H103" s="2"/>
      <c r="I103" s="2"/>
      <c r="J103" s="2"/>
    </row>
    <row r="104" spans="1:10">
      <c r="C104" s="2"/>
      <c r="D104" s="2"/>
      <c r="E104" s="2"/>
      <c r="F104" s="2"/>
      <c r="G104" s="2"/>
      <c r="H104" s="2"/>
      <c r="I104" s="2"/>
      <c r="J104" s="2"/>
    </row>
    <row r="105" spans="1:10">
      <c r="C105" s="2"/>
      <c r="D105" s="2"/>
      <c r="E105" s="2"/>
      <c r="F105" s="2"/>
      <c r="G105" s="2"/>
      <c r="H105" s="2"/>
      <c r="I105" s="2"/>
      <c r="J105" s="2"/>
    </row>
    <row r="106" spans="1:10">
      <c r="C106" s="2"/>
      <c r="D106" s="2"/>
      <c r="E106" s="2"/>
      <c r="F106" s="2"/>
      <c r="G106" s="2"/>
      <c r="H106" s="2"/>
      <c r="I106" s="2"/>
      <c r="J106" s="2"/>
    </row>
    <row r="107" spans="1:10">
      <c r="C107" s="2"/>
      <c r="D107" s="2"/>
      <c r="E107" s="2"/>
      <c r="F107" s="2"/>
      <c r="G107" s="2"/>
      <c r="H107" s="2"/>
      <c r="I107" s="2"/>
      <c r="J107" s="2"/>
    </row>
    <row r="108" spans="1:10">
      <c r="C108" s="2"/>
      <c r="D108" s="2"/>
      <c r="E108" s="2"/>
      <c r="F108" s="2"/>
      <c r="G108" s="2"/>
      <c r="H108" s="2"/>
      <c r="I108" s="2"/>
      <c r="J108" s="2"/>
    </row>
    <row r="109" spans="1:10">
      <c r="C109" s="2"/>
      <c r="D109" s="2"/>
      <c r="E109" s="2"/>
      <c r="F109" s="2"/>
      <c r="G109" s="2"/>
      <c r="H109" s="2"/>
      <c r="I109" s="2"/>
      <c r="J109" s="2"/>
    </row>
    <row r="110" spans="1:10">
      <c r="C110" s="2"/>
      <c r="D110" s="2"/>
      <c r="E110" s="2"/>
      <c r="F110" s="2"/>
      <c r="G110" s="2"/>
      <c r="H110" s="2"/>
      <c r="I110" s="2"/>
      <c r="J110" s="2"/>
    </row>
    <row r="111" spans="1:10">
      <c r="C111" s="2"/>
      <c r="D111" s="2"/>
      <c r="E111" s="2"/>
      <c r="F111" s="2"/>
      <c r="G111" s="2"/>
      <c r="H111" s="2"/>
      <c r="I111" s="2"/>
      <c r="J111" s="2"/>
    </row>
    <row r="112" spans="1:10">
      <c r="C112" s="2"/>
      <c r="D112" s="2"/>
      <c r="E112" s="2"/>
      <c r="F112" s="2"/>
      <c r="G112" s="2"/>
      <c r="H112" s="2"/>
      <c r="I112" s="2"/>
      <c r="J112" s="2"/>
    </row>
    <row r="113" spans="3:10">
      <c r="C113" s="2"/>
      <c r="D113" s="2"/>
      <c r="E113" s="2"/>
      <c r="F113" s="2"/>
      <c r="G113" s="2"/>
      <c r="H113" s="2"/>
      <c r="I113" s="2"/>
      <c r="J113" s="2"/>
    </row>
    <row r="114" spans="3:10">
      <c r="C114" s="2"/>
      <c r="D114" s="2"/>
      <c r="E114" s="2"/>
      <c r="F114" s="2"/>
      <c r="G114" s="2"/>
      <c r="H114" s="2"/>
      <c r="I114" s="2"/>
      <c r="J114" s="2"/>
    </row>
    <row r="115" spans="3:10">
      <c r="C115" s="2"/>
      <c r="D115" s="2"/>
      <c r="E115" s="2"/>
      <c r="F115" s="2"/>
      <c r="G115" s="2"/>
      <c r="H115" s="2"/>
      <c r="I115" s="2"/>
      <c r="J115" s="2"/>
    </row>
    <row r="116" spans="3:10">
      <c r="C116" s="2"/>
      <c r="D116" s="2"/>
      <c r="E116" s="2"/>
      <c r="F116" s="2"/>
      <c r="G116" s="2"/>
      <c r="H116" s="2"/>
      <c r="I116" s="2"/>
      <c r="J116" s="2"/>
    </row>
    <row r="117" spans="3:10">
      <c r="C117" s="2"/>
      <c r="D117" s="2"/>
      <c r="E117" s="2"/>
      <c r="F117" s="2"/>
      <c r="G117" s="2"/>
      <c r="H117" s="2"/>
      <c r="I117" s="2"/>
      <c r="J117" s="2"/>
    </row>
    <row r="118" spans="3:10">
      <c r="C118" s="2"/>
      <c r="D118" s="2"/>
      <c r="E118" s="2"/>
      <c r="F118" s="2"/>
      <c r="G118" s="2"/>
      <c r="H118" s="2"/>
      <c r="I118" s="2"/>
      <c r="J118" s="2"/>
    </row>
    <row r="119" spans="3:10">
      <c r="C119" s="2"/>
      <c r="D119" s="2"/>
      <c r="E119" s="2"/>
      <c r="F119" s="2"/>
      <c r="G119" s="2"/>
      <c r="H119" s="2"/>
      <c r="I119" s="2"/>
      <c r="J119" s="2"/>
    </row>
    <row r="120" spans="3:10">
      <c r="C120" s="2"/>
      <c r="D120" s="2"/>
      <c r="E120" s="2"/>
      <c r="F120" s="2"/>
      <c r="G120" s="2"/>
      <c r="H120" s="2"/>
      <c r="I120" s="2"/>
      <c r="J120" s="2"/>
    </row>
    <row r="121" spans="3:10">
      <c r="C121" s="2"/>
      <c r="D121" s="2"/>
      <c r="E121" s="2"/>
      <c r="F121" s="2"/>
      <c r="G121" s="2"/>
      <c r="H121" s="2"/>
      <c r="I121" s="2"/>
      <c r="J121" s="2"/>
    </row>
    <row r="122" spans="3:10">
      <c r="C122" s="2"/>
      <c r="D122" s="2"/>
      <c r="E122" s="2"/>
      <c r="F122" s="2"/>
      <c r="G122" s="2"/>
      <c r="H122" s="2"/>
      <c r="I122" s="2"/>
      <c r="J122" s="2"/>
    </row>
    <row r="123" spans="3:10">
      <c r="C123" s="2"/>
      <c r="D123" s="2"/>
      <c r="E123" s="2"/>
      <c r="F123" s="2"/>
      <c r="G123" s="2"/>
      <c r="H123" s="2"/>
      <c r="I123" s="2"/>
      <c r="J123" s="2"/>
    </row>
    <row r="124" spans="3:10">
      <c r="C124" s="2"/>
      <c r="D124" s="2"/>
      <c r="E124" s="2"/>
      <c r="F124" s="2"/>
      <c r="G124" s="2"/>
      <c r="H124" s="2"/>
      <c r="I124" s="2"/>
      <c r="J124" s="2"/>
    </row>
    <row r="125" spans="3:10">
      <c r="C125" s="2"/>
      <c r="D125" s="2"/>
      <c r="E125" s="2"/>
      <c r="F125" s="2"/>
      <c r="G125" s="2"/>
      <c r="H125" s="2"/>
      <c r="I125" s="2"/>
      <c r="J125" s="2"/>
    </row>
    <row r="126" spans="3:10">
      <c r="C126" s="2"/>
      <c r="D126" s="2"/>
      <c r="E126" s="2"/>
      <c r="F126" s="2"/>
      <c r="G126" s="2"/>
      <c r="H126" s="2"/>
      <c r="I126" s="2"/>
      <c r="J126" s="2"/>
    </row>
    <row r="127" spans="3:10">
      <c r="C127" s="2"/>
      <c r="D127" s="2"/>
      <c r="E127" s="2"/>
      <c r="F127" s="2"/>
      <c r="G127" s="2"/>
      <c r="H127" s="2"/>
      <c r="I127" s="2"/>
      <c r="J127" s="2"/>
    </row>
    <row r="128" spans="3:10">
      <c r="C128" s="2"/>
      <c r="D128" s="2"/>
      <c r="E128" s="2"/>
      <c r="F128" s="2"/>
      <c r="G128" s="2"/>
      <c r="H128" s="2"/>
      <c r="I128" s="2"/>
      <c r="J128" s="2"/>
    </row>
    <row r="129" spans="3:10">
      <c r="C129" s="2"/>
      <c r="D129" s="2"/>
      <c r="E129" s="2"/>
      <c r="F129" s="2"/>
      <c r="G129" s="2"/>
      <c r="H129" s="2"/>
      <c r="I129" s="2"/>
      <c r="J129" s="2"/>
    </row>
    <row r="130" spans="3:10">
      <c r="C130" s="2"/>
      <c r="D130" s="2"/>
      <c r="E130" s="2"/>
      <c r="F130" s="2"/>
      <c r="G130" s="2"/>
      <c r="H130" s="2"/>
      <c r="I130" s="2"/>
      <c r="J130" s="2"/>
    </row>
    <row r="131" spans="3:10">
      <c r="C131" s="2"/>
      <c r="D131" s="2"/>
      <c r="E131" s="2"/>
      <c r="F131" s="2"/>
      <c r="G131" s="2"/>
      <c r="H131" s="2"/>
      <c r="I131" s="2"/>
      <c r="J131" s="2"/>
    </row>
    <row r="132" spans="3:10">
      <c r="C132" s="2"/>
      <c r="D132" s="2"/>
      <c r="E132" s="2"/>
      <c r="F132" s="2"/>
      <c r="G132" s="2"/>
      <c r="H132" s="2"/>
      <c r="I132" s="2"/>
      <c r="J132" s="2"/>
    </row>
    <row r="133" spans="3:10">
      <c r="C133" s="2"/>
      <c r="D133" s="2"/>
      <c r="E133" s="2"/>
      <c r="F133" s="2"/>
      <c r="G133" s="2"/>
      <c r="H133" s="2"/>
      <c r="I133" s="2"/>
      <c r="J133" s="2"/>
    </row>
    <row r="134" spans="3:10">
      <c r="C134" s="2"/>
      <c r="D134" s="2"/>
      <c r="E134" s="2"/>
      <c r="F134" s="2"/>
      <c r="G134" s="2"/>
      <c r="H134" s="2"/>
      <c r="I134" s="2"/>
      <c r="J134" s="2"/>
    </row>
    <row r="135" spans="3:10">
      <c r="C135" s="2"/>
      <c r="D135" s="2"/>
      <c r="E135" s="2"/>
      <c r="F135" s="2"/>
      <c r="G135" s="2"/>
      <c r="H135" s="2"/>
      <c r="I135" s="2"/>
      <c r="J135" s="2"/>
    </row>
    <row r="136" spans="3:10">
      <c r="C136" s="2"/>
      <c r="D136" s="2"/>
      <c r="E136" s="2"/>
      <c r="F136" s="2"/>
      <c r="G136" s="2"/>
      <c r="H136" s="2"/>
      <c r="I136" s="2"/>
      <c r="J136" s="2"/>
    </row>
    <row r="137" spans="3:10">
      <c r="C137" s="2"/>
      <c r="D137" s="2"/>
      <c r="E137" s="2"/>
      <c r="F137" s="2"/>
      <c r="G137" s="2"/>
      <c r="H137" s="2"/>
      <c r="I137" s="2"/>
      <c r="J137" s="2"/>
    </row>
    <row r="138" spans="3:10">
      <c r="C138" s="2"/>
      <c r="D138" s="2"/>
      <c r="E138" s="2"/>
      <c r="F138" s="2"/>
      <c r="G138" s="2"/>
      <c r="H138" s="2"/>
      <c r="I138" s="2"/>
      <c r="J138" s="2"/>
    </row>
    <row r="139" spans="3:10">
      <c r="C139" s="2"/>
      <c r="D139" s="2"/>
      <c r="E139" s="2"/>
      <c r="F139" s="2"/>
      <c r="G139" s="2"/>
      <c r="H139" s="2"/>
      <c r="I139" s="2"/>
      <c r="J139" s="2"/>
    </row>
    <row r="140" spans="3:10">
      <c r="C140" s="2"/>
      <c r="D140" s="2"/>
      <c r="E140" s="2"/>
      <c r="F140" s="2"/>
      <c r="G140" s="2"/>
      <c r="H140" s="2"/>
      <c r="I140" s="2"/>
      <c r="J140" s="2"/>
    </row>
    <row r="141" spans="3:10">
      <c r="C141" s="2"/>
      <c r="D141" s="2"/>
      <c r="E141" s="2"/>
      <c r="F141" s="2"/>
      <c r="G141" s="2"/>
      <c r="H141" s="2"/>
      <c r="I141" s="2"/>
      <c r="J141" s="2"/>
    </row>
    <row r="142" spans="3:10">
      <c r="C142" s="2"/>
      <c r="D142" s="2"/>
      <c r="E142" s="2"/>
      <c r="F142" s="2"/>
      <c r="G142" s="2"/>
      <c r="H142" s="2"/>
      <c r="I142" s="2"/>
      <c r="J142" s="2"/>
    </row>
    <row r="143" spans="3:10">
      <c r="C143" s="2"/>
      <c r="D143" s="2"/>
      <c r="E143" s="2"/>
      <c r="F143" s="2"/>
      <c r="G143" s="2"/>
      <c r="H143" s="2"/>
      <c r="I143" s="2"/>
      <c r="J143" s="2"/>
    </row>
    <row r="144" spans="3:10">
      <c r="C144" s="2"/>
      <c r="D144" s="2"/>
      <c r="E144" s="2"/>
      <c r="F144" s="2"/>
      <c r="G144" s="2"/>
      <c r="H144" s="2"/>
      <c r="I144" s="2"/>
      <c r="J144" s="2"/>
    </row>
    <row r="145" spans="3:10">
      <c r="C145" s="2"/>
      <c r="D145" s="2"/>
      <c r="E145" s="2"/>
      <c r="F145" s="2"/>
      <c r="G145" s="2"/>
      <c r="H145" s="2"/>
      <c r="I145" s="2"/>
      <c r="J145" s="2"/>
    </row>
    <row r="146" spans="3:10">
      <c r="C146" s="2"/>
      <c r="D146" s="2"/>
      <c r="E146" s="2"/>
      <c r="F146" s="2"/>
      <c r="G146" s="2"/>
      <c r="H146" s="2"/>
      <c r="I146" s="2"/>
      <c r="J146" s="2"/>
    </row>
    <row r="147" spans="3:10">
      <c r="C147" s="2"/>
      <c r="D147" s="2"/>
      <c r="E147" s="2"/>
      <c r="F147" s="2"/>
      <c r="G147" s="2"/>
      <c r="H147" s="2"/>
      <c r="I147" s="2"/>
      <c r="J147" s="2"/>
    </row>
    <row r="148" spans="3:10">
      <c r="C148" s="2"/>
      <c r="D148" s="2"/>
      <c r="E148" s="2"/>
      <c r="F148" s="2"/>
      <c r="G148" s="2"/>
      <c r="H148" s="2"/>
      <c r="I148" s="2"/>
      <c r="J148" s="2"/>
    </row>
    <row r="149" spans="3:10">
      <c r="C149" s="2"/>
      <c r="D149" s="2"/>
      <c r="E149" s="2"/>
      <c r="F149" s="2"/>
      <c r="G149" s="2"/>
      <c r="H149" s="2"/>
      <c r="I149" s="2"/>
      <c r="J149" s="2"/>
    </row>
    <row r="150" spans="3:10">
      <c r="C150" s="2"/>
      <c r="D150" s="2"/>
      <c r="E150" s="2"/>
      <c r="F150" s="2"/>
      <c r="G150" s="2"/>
      <c r="H150" s="2"/>
      <c r="I150" s="2"/>
      <c r="J150" s="2"/>
    </row>
    <row r="151" spans="3:10">
      <c r="C151" s="2"/>
      <c r="D151" s="2"/>
      <c r="E151" s="2"/>
      <c r="F151" s="2"/>
      <c r="G151" s="2"/>
      <c r="H151" s="2"/>
      <c r="I151" s="2"/>
      <c r="J151" s="2"/>
    </row>
    <row r="152" spans="3:10">
      <c r="C152" s="2"/>
      <c r="D152" s="2"/>
      <c r="E152" s="2"/>
      <c r="F152" s="2"/>
      <c r="G152" s="2"/>
      <c r="H152" s="2"/>
      <c r="I152" s="2"/>
      <c r="J152" s="2"/>
    </row>
    <row r="153" spans="3:10">
      <c r="C153" s="2"/>
      <c r="D153" s="2"/>
      <c r="E153" s="2"/>
      <c r="F153" s="2"/>
      <c r="G153" s="2"/>
      <c r="H153" s="2"/>
      <c r="I153" s="2"/>
      <c r="J153" s="2"/>
    </row>
    <row r="154" spans="3:10">
      <c r="C154" s="2"/>
      <c r="D154" s="2"/>
      <c r="E154" s="2"/>
      <c r="F154" s="2"/>
      <c r="G154" s="2"/>
      <c r="H154" s="2"/>
      <c r="I154" s="2"/>
      <c r="J154" s="2"/>
    </row>
    <row r="155" spans="3:10">
      <c r="C155" s="2"/>
      <c r="D155" s="2"/>
      <c r="E155" s="2"/>
      <c r="F155" s="2"/>
      <c r="G155" s="2"/>
      <c r="H155" s="2"/>
      <c r="I155" s="2"/>
      <c r="J155" s="2"/>
    </row>
    <row r="156" spans="3:10">
      <c r="C156" s="2"/>
      <c r="D156" s="2"/>
      <c r="E156" s="2"/>
      <c r="F156" s="2"/>
      <c r="G156" s="2"/>
      <c r="H156" s="2"/>
      <c r="I156" s="2"/>
      <c r="J156" s="2"/>
    </row>
    <row r="157" spans="3:10">
      <c r="C157" s="2"/>
      <c r="D157" s="2"/>
      <c r="E157" s="2"/>
      <c r="F157" s="2"/>
      <c r="G157" s="2"/>
      <c r="H157" s="2"/>
      <c r="I157" s="2"/>
      <c r="J157" s="2"/>
    </row>
    <row r="158" spans="3:10">
      <c r="C158" s="2"/>
      <c r="D158" s="2"/>
      <c r="E158" s="2"/>
      <c r="F158" s="2"/>
      <c r="G158" s="2"/>
      <c r="H158" s="2"/>
      <c r="I158" s="2"/>
      <c r="J158" s="2"/>
    </row>
    <row r="159" spans="3:10">
      <c r="C159" s="2"/>
      <c r="D159" s="2"/>
      <c r="E159" s="2"/>
      <c r="F159" s="2"/>
      <c r="G159" s="2"/>
      <c r="H159" s="2"/>
      <c r="I159" s="2"/>
      <c r="J159" s="2"/>
    </row>
    <row r="160" spans="3:10">
      <c r="C160" s="2"/>
      <c r="D160" s="2"/>
      <c r="E160" s="2"/>
      <c r="F160" s="2"/>
      <c r="G160" s="2"/>
      <c r="H160" s="2"/>
      <c r="I160" s="2"/>
      <c r="J160" s="2"/>
    </row>
    <row r="161" spans="3:10">
      <c r="C161" s="2"/>
      <c r="D161" s="2"/>
      <c r="E161" s="2"/>
      <c r="F161" s="2"/>
      <c r="G161" s="2"/>
      <c r="H161" s="2"/>
      <c r="I161" s="2"/>
      <c r="J161" s="2"/>
    </row>
    <row r="162" spans="3:10">
      <c r="C162" s="2"/>
      <c r="D162" s="2"/>
      <c r="E162" s="2"/>
      <c r="F162" s="2"/>
      <c r="G162" s="2"/>
      <c r="H162" s="2"/>
      <c r="I162" s="2"/>
      <c r="J162" s="2"/>
    </row>
    <row r="163" spans="3:10">
      <c r="C163" s="2"/>
      <c r="D163" s="2"/>
      <c r="E163" s="2"/>
      <c r="F163" s="2"/>
      <c r="G163" s="2"/>
      <c r="H163" s="2"/>
      <c r="I163" s="2"/>
      <c r="J163" s="2"/>
    </row>
    <row r="164" spans="3:10">
      <c r="C164" s="2"/>
      <c r="D164" s="2"/>
      <c r="E164" s="2"/>
      <c r="F164" s="2"/>
      <c r="G164" s="2"/>
      <c r="H164" s="2"/>
      <c r="I164" s="2"/>
      <c r="J164" s="2"/>
    </row>
    <row r="165" spans="3:10">
      <c r="C165" s="2"/>
      <c r="D165" s="2"/>
      <c r="E165" s="2"/>
      <c r="F165" s="2"/>
      <c r="G165" s="2"/>
      <c r="H165" s="2"/>
      <c r="I165" s="2"/>
      <c r="J165" s="2"/>
    </row>
    <row r="166" spans="3:10">
      <c r="C166" s="2"/>
      <c r="D166" s="2"/>
      <c r="E166" s="2"/>
      <c r="F166" s="2"/>
      <c r="G166" s="2"/>
      <c r="H166" s="2"/>
      <c r="I166" s="2"/>
      <c r="J166" s="2"/>
    </row>
    <row r="167" spans="3:10">
      <c r="C167" s="2"/>
      <c r="D167" s="2"/>
      <c r="E167" s="2"/>
      <c r="F167" s="2"/>
      <c r="G167" s="2"/>
      <c r="H167" s="2"/>
      <c r="I167" s="2"/>
      <c r="J167" s="2"/>
    </row>
    <row r="168" spans="3:10">
      <c r="C168" s="2"/>
      <c r="D168" s="2"/>
      <c r="E168" s="2"/>
      <c r="F168" s="2"/>
      <c r="G168" s="2"/>
      <c r="H168" s="2"/>
      <c r="I168" s="2"/>
      <c r="J168" s="2"/>
    </row>
    <row r="169" spans="3:10">
      <c r="C169" s="2"/>
      <c r="D169" s="2"/>
      <c r="E169" s="2"/>
      <c r="F169" s="2"/>
      <c r="G169" s="2"/>
      <c r="H169" s="2"/>
      <c r="I169" s="2"/>
      <c r="J169" s="2"/>
    </row>
    <row r="170" spans="3:10">
      <c r="C170" s="2"/>
      <c r="D170" s="2"/>
      <c r="E170" s="2"/>
      <c r="F170" s="2"/>
      <c r="G170" s="2"/>
      <c r="H170" s="2"/>
      <c r="I170" s="2"/>
      <c r="J170" s="2"/>
    </row>
    <row r="171" spans="3:10">
      <c r="C171" s="2"/>
      <c r="D171" s="2"/>
      <c r="E171" s="2"/>
      <c r="F171" s="2"/>
      <c r="G171" s="2"/>
      <c r="H171" s="2"/>
      <c r="I171" s="2"/>
      <c r="J171" s="2"/>
    </row>
    <row r="172" spans="3:10">
      <c r="C172" s="2"/>
      <c r="D172" s="2"/>
      <c r="E172" s="2"/>
      <c r="F172" s="2"/>
      <c r="G172" s="2"/>
      <c r="H172" s="2"/>
      <c r="I172" s="2"/>
      <c r="J172" s="2"/>
    </row>
    <row r="173" spans="3:10">
      <c r="C173" s="2"/>
      <c r="D173" s="2"/>
      <c r="E173" s="2"/>
      <c r="F173" s="2"/>
      <c r="G173" s="2"/>
      <c r="H173" s="2"/>
      <c r="I173" s="2"/>
      <c r="J173" s="2"/>
    </row>
    <row r="174" spans="3:10">
      <c r="C174" s="2"/>
      <c r="D174" s="2"/>
      <c r="E174" s="2"/>
      <c r="F174" s="2"/>
      <c r="G174" s="2"/>
      <c r="H174" s="2"/>
      <c r="I174" s="2"/>
      <c r="J174" s="2"/>
    </row>
    <row r="175" spans="3:10">
      <c r="C175" s="2"/>
      <c r="D175" s="2"/>
      <c r="E175" s="2"/>
      <c r="F175" s="2"/>
      <c r="G175" s="2"/>
      <c r="H175" s="2"/>
      <c r="I175" s="2"/>
      <c r="J175" s="2"/>
    </row>
    <row r="176" spans="3:10">
      <c r="C176" s="2"/>
      <c r="D176" s="2"/>
      <c r="E176" s="2"/>
      <c r="F176" s="2"/>
      <c r="G176" s="2"/>
      <c r="H176" s="2"/>
      <c r="I176" s="2"/>
      <c r="J176" s="2"/>
    </row>
    <row r="177" spans="3:10">
      <c r="C177" s="2"/>
      <c r="D177" s="2"/>
      <c r="E177" s="2"/>
      <c r="F177" s="2"/>
      <c r="G177" s="2"/>
      <c r="H177" s="2"/>
      <c r="I177" s="2"/>
      <c r="J177" s="2"/>
    </row>
    <row r="178" spans="3:10">
      <c r="C178" s="2"/>
      <c r="D178" s="2"/>
      <c r="E178" s="2"/>
      <c r="F178" s="2"/>
      <c r="G178" s="2"/>
      <c r="H178" s="2"/>
      <c r="I178" s="2"/>
      <c r="J178" s="2"/>
    </row>
    <row r="179" spans="3:10">
      <c r="C179" s="2"/>
      <c r="D179" s="2"/>
      <c r="E179" s="2"/>
      <c r="F179" s="2"/>
      <c r="G179" s="2"/>
      <c r="H179" s="2"/>
      <c r="I179" s="2"/>
      <c r="J179" s="2"/>
    </row>
    <row r="180" spans="3:10">
      <c r="C180" s="2"/>
      <c r="D180" s="2"/>
      <c r="E180" s="2"/>
      <c r="F180" s="2"/>
      <c r="G180" s="2"/>
      <c r="H180" s="2"/>
      <c r="I180" s="2"/>
      <c r="J180" s="2"/>
    </row>
    <row r="181" spans="3:10">
      <c r="C181" s="2"/>
      <c r="D181" s="2"/>
      <c r="E181" s="2"/>
      <c r="F181" s="2"/>
      <c r="G181" s="2"/>
      <c r="H181" s="2"/>
      <c r="I181" s="2"/>
      <c r="J181" s="2"/>
    </row>
    <row r="182" spans="3:10">
      <c r="C182" s="2"/>
      <c r="D182" s="2"/>
      <c r="E182" s="2"/>
      <c r="F182" s="2"/>
      <c r="G182" s="2"/>
      <c r="H182" s="2"/>
      <c r="I182" s="2"/>
      <c r="J182" s="2"/>
    </row>
    <row r="183" spans="3:10">
      <c r="C183" s="2"/>
      <c r="D183" s="2"/>
      <c r="E183" s="2"/>
      <c r="F183" s="2"/>
      <c r="G183" s="2"/>
      <c r="H183" s="2"/>
      <c r="I183" s="2"/>
      <c r="J183" s="2"/>
    </row>
    <row r="184" spans="3:10">
      <c r="C184" s="2"/>
      <c r="D184" s="2"/>
      <c r="E184" s="2"/>
      <c r="F184" s="2"/>
      <c r="G184" s="2"/>
      <c r="H184" s="2"/>
      <c r="I184" s="2"/>
      <c r="J184" s="2"/>
    </row>
    <row r="185" spans="3:10">
      <c r="C185" s="2"/>
      <c r="D185" s="2"/>
      <c r="E185" s="2"/>
      <c r="F185" s="2"/>
      <c r="G185" s="2"/>
      <c r="H185" s="2"/>
      <c r="I185" s="2"/>
      <c r="J185" s="2"/>
    </row>
    <row r="186" spans="3:10">
      <c r="C186" s="2"/>
      <c r="D186" s="2"/>
      <c r="E186" s="2"/>
      <c r="F186" s="2"/>
      <c r="G186" s="2"/>
      <c r="H186" s="2"/>
      <c r="I186" s="2"/>
      <c r="J186" s="2"/>
    </row>
    <row r="187" spans="3:10">
      <c r="C187" s="2"/>
      <c r="D187" s="2"/>
      <c r="E187" s="2"/>
      <c r="F187" s="2"/>
      <c r="G187" s="2"/>
      <c r="H187" s="2"/>
      <c r="I187" s="2"/>
      <c r="J187" s="2"/>
    </row>
    <row r="188" spans="3:10">
      <c r="C188" s="2"/>
      <c r="D188" s="2"/>
      <c r="E188" s="2"/>
      <c r="F188" s="2"/>
      <c r="G188" s="2"/>
      <c r="H188" s="2"/>
      <c r="I188" s="2"/>
      <c r="J188" s="2"/>
    </row>
    <row r="189" spans="3:10">
      <c r="C189" s="2"/>
      <c r="D189" s="2"/>
      <c r="E189" s="2"/>
      <c r="F189" s="2"/>
      <c r="G189" s="2"/>
      <c r="H189" s="2"/>
      <c r="I189" s="2"/>
      <c r="J189" s="2"/>
    </row>
    <row r="190" spans="3:10">
      <c r="C190" s="2"/>
      <c r="D190" s="2"/>
      <c r="E190" s="2"/>
      <c r="F190" s="2"/>
      <c r="G190" s="2"/>
      <c r="H190" s="2"/>
      <c r="I190" s="2"/>
      <c r="J190" s="2"/>
    </row>
    <row r="191" spans="3:10">
      <c r="C191" s="2"/>
      <c r="D191" s="2"/>
      <c r="E191" s="2"/>
      <c r="F191" s="2"/>
      <c r="G191" s="2"/>
      <c r="H191" s="2"/>
      <c r="I191" s="2"/>
      <c r="J191" s="2"/>
    </row>
    <row r="192" spans="3:10">
      <c r="C192" s="2"/>
      <c r="D192" s="2"/>
      <c r="E192" s="2"/>
      <c r="F192" s="2"/>
      <c r="G192" s="2"/>
      <c r="H192" s="2"/>
      <c r="I192" s="2"/>
      <c r="J192" s="2"/>
    </row>
    <row r="193" spans="3:10">
      <c r="C193" s="2"/>
      <c r="D193" s="2"/>
      <c r="E193" s="2"/>
      <c r="F193" s="2"/>
      <c r="H193" s="2"/>
      <c r="I193" s="2"/>
      <c r="J193" s="2"/>
    </row>
    <row r="194" spans="3:10">
      <c r="C194" s="2"/>
      <c r="D194" s="2"/>
      <c r="E194" s="2"/>
      <c r="F194" s="2"/>
      <c r="H194" s="2"/>
      <c r="I194" s="2"/>
      <c r="J194" s="2"/>
    </row>
    <row r="195" spans="3:10">
      <c r="C195" s="2"/>
      <c r="D195" s="2"/>
      <c r="E195" s="2"/>
      <c r="F195" s="2"/>
      <c r="H195" s="2"/>
      <c r="I195" s="2"/>
      <c r="J195" s="2"/>
    </row>
    <row r="196" spans="3:10">
      <c r="C196" s="2"/>
      <c r="D196" s="2"/>
      <c r="E196" s="2"/>
      <c r="F196" s="2"/>
      <c r="H196" s="2"/>
      <c r="I196" s="2"/>
      <c r="J196" s="2"/>
    </row>
    <row r="197" spans="3:10">
      <c r="C197" s="2"/>
      <c r="D197" s="2"/>
      <c r="E197" s="2"/>
      <c r="F197" s="2"/>
      <c r="H197" s="2"/>
      <c r="I197" s="2"/>
      <c r="J197" s="2"/>
    </row>
    <row r="198" spans="3:10">
      <c r="C198" s="2"/>
      <c r="D198" s="2"/>
      <c r="E198" s="2"/>
      <c r="H198" s="2"/>
      <c r="I198" s="2"/>
      <c r="J198" s="2"/>
    </row>
    <row r="199" spans="3:10">
      <c r="C199" s="2"/>
      <c r="D199" s="2"/>
      <c r="E199" s="2"/>
      <c r="H199" s="2"/>
      <c r="I199" s="2"/>
      <c r="J199" s="2"/>
    </row>
    <row r="200" spans="3:10">
      <c r="C200" s="2"/>
      <c r="D200" s="2"/>
      <c r="E200" s="2"/>
      <c r="H200" s="2"/>
      <c r="I200" s="2"/>
      <c r="J200" s="2"/>
    </row>
    <row r="201" spans="3:10">
      <c r="C201" s="2"/>
      <c r="D201" s="2"/>
      <c r="E201" s="2"/>
      <c r="H201" s="2"/>
      <c r="I201" s="2"/>
      <c r="J201" s="2"/>
    </row>
    <row r="202" spans="3:10">
      <c r="C202" s="2"/>
      <c r="D202" s="2"/>
      <c r="E202" s="2"/>
      <c r="H202" s="2"/>
      <c r="I202" s="2"/>
      <c r="J202" s="2"/>
    </row>
    <row r="203" spans="3:10">
      <c r="C203" s="2"/>
      <c r="D203" s="2"/>
      <c r="E203" s="2"/>
      <c r="I203" s="2"/>
      <c r="J203" s="2"/>
    </row>
    <row r="204" spans="3:10">
      <c r="C204" s="2"/>
      <c r="D204" s="2"/>
      <c r="E204" s="2"/>
      <c r="I204" s="2"/>
      <c r="J204" s="2"/>
    </row>
    <row r="205" spans="3:10">
      <c r="C205" s="2"/>
      <c r="D205" s="2"/>
      <c r="E205" s="2"/>
      <c r="I205" s="2"/>
      <c r="J205" s="2"/>
    </row>
    <row r="206" spans="3:10">
      <c r="C206" s="2"/>
      <c r="D206" s="2"/>
      <c r="E206" s="2"/>
      <c r="I206" s="2"/>
      <c r="J206" s="2"/>
    </row>
    <row r="207" spans="3:10">
      <c r="C207" s="2"/>
      <c r="D207" s="2"/>
      <c r="E207" s="2"/>
      <c r="I207" s="2"/>
      <c r="J207" s="2"/>
    </row>
  </sheetData>
  <mergeCells count="29">
    <mergeCell ref="A1:E1"/>
    <mergeCell ref="A2:E2"/>
    <mergeCell ref="C3:D3"/>
    <mergeCell ref="A3:A4"/>
    <mergeCell ref="A5:A9"/>
    <mergeCell ref="A10:A11"/>
    <mergeCell ref="A12:A13"/>
    <mergeCell ref="A14:A15"/>
    <mergeCell ref="A16:A18"/>
    <mergeCell ref="A19:A23"/>
    <mergeCell ref="A24:A27"/>
    <mergeCell ref="A28:A29"/>
    <mergeCell ref="A30:A31"/>
    <mergeCell ref="A32:A36"/>
    <mergeCell ref="A37:A44"/>
    <mergeCell ref="A45:A50"/>
    <mergeCell ref="A51:A56"/>
    <mergeCell ref="A57:A58"/>
    <mergeCell ref="A59:A60"/>
    <mergeCell ref="A61:A62"/>
    <mergeCell ref="A63:A64"/>
    <mergeCell ref="A65:A66"/>
    <mergeCell ref="A67:A72"/>
    <mergeCell ref="A73:A77"/>
    <mergeCell ref="A78:A82"/>
    <mergeCell ref="A83:A85"/>
    <mergeCell ref="A86:A87"/>
    <mergeCell ref="B3:B4"/>
    <mergeCell ref="E3:E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topLeftCell="F1" workbookViewId="0">
      <selection activeCell="M31" sqref="M31"/>
    </sheetView>
  </sheetViews>
  <sheetFormatPr defaultColWidth="8.88888888888889" defaultRowHeight="14.4"/>
  <cols>
    <col min="1" max="1" width="4.33333333333333" customWidth="1"/>
    <col min="2" max="2" width="15.2222222222222" customWidth="1"/>
    <col min="3" max="3" width="10.5555555555556" customWidth="1"/>
    <col min="4" max="4" width="6.66666666666667" customWidth="1"/>
    <col min="5" max="6" width="13.1111111111111" customWidth="1"/>
    <col min="7" max="8" width="13" customWidth="1"/>
    <col min="9" max="9" width="14.3333333333333" customWidth="1"/>
    <col min="10" max="10" width="14.2222222222222" customWidth="1"/>
    <col min="11" max="11" width="13.1111111111111" customWidth="1"/>
    <col min="12" max="14" width="17" customWidth="1"/>
    <col min="15" max="15" width="15.9351851851852" customWidth="1"/>
  </cols>
  <sheetData>
    <row r="1" s="85" customFormat="1" spans="1:15">
      <c r="A1" s="86" t="s">
        <v>2</v>
      </c>
      <c r="B1" s="86"/>
      <c r="C1" s="86"/>
      <c r="D1" s="86"/>
      <c r="E1" s="87" t="s">
        <v>3</v>
      </c>
      <c r="F1" s="87"/>
      <c r="G1" s="87"/>
      <c r="H1" s="87"/>
      <c r="I1" s="87"/>
      <c r="J1" s="87"/>
      <c r="K1" s="87"/>
      <c r="L1" s="88" t="s">
        <v>355</v>
      </c>
      <c r="M1" s="89" t="s">
        <v>356</v>
      </c>
      <c r="N1" s="90" t="s">
        <v>357</v>
      </c>
      <c r="O1" s="91" t="s">
        <v>358</v>
      </c>
    </row>
    <row r="2" s="85" customFormat="1" spans="1:15">
      <c r="A2" s="92" t="s">
        <v>8</v>
      </c>
      <c r="B2" s="92" t="s">
        <v>9</v>
      </c>
      <c r="C2" s="92" t="s">
        <v>10</v>
      </c>
      <c r="D2" s="92" t="s">
        <v>11</v>
      </c>
      <c r="E2" s="93" t="s">
        <v>12</v>
      </c>
      <c r="F2" s="93"/>
      <c r="G2" s="93"/>
      <c r="H2" s="93" t="s">
        <v>13</v>
      </c>
      <c r="I2" s="93" t="s">
        <v>14</v>
      </c>
      <c r="J2" s="93" t="s">
        <v>15</v>
      </c>
      <c r="K2" s="93" t="s">
        <v>16</v>
      </c>
      <c r="L2" s="88"/>
      <c r="M2" s="89"/>
      <c r="N2" s="94"/>
      <c r="O2" s="91"/>
    </row>
    <row r="3" s="85" customFormat="1" spans="1:15">
      <c r="A3" s="92"/>
      <c r="B3" s="92"/>
      <c r="C3" s="92"/>
      <c r="D3" s="92"/>
      <c r="E3" s="93" t="s">
        <v>17</v>
      </c>
      <c r="F3" s="93" t="s">
        <v>18</v>
      </c>
      <c r="G3" s="93" t="s">
        <v>19</v>
      </c>
      <c r="H3" s="93"/>
      <c r="I3" s="93"/>
      <c r="J3" s="93"/>
      <c r="K3" s="93"/>
      <c r="L3" s="88"/>
      <c r="M3" s="89"/>
      <c r="N3" s="95"/>
      <c r="O3" s="91"/>
    </row>
    <row r="4" spans="1:15">
      <c r="A4" s="96">
        <f>ROW()-3</f>
        <v>1</v>
      </c>
      <c r="B4" s="97" t="s">
        <v>20</v>
      </c>
      <c r="C4" s="97" t="s">
        <v>21</v>
      </c>
      <c r="D4" s="98">
        <v>500</v>
      </c>
      <c r="E4" s="6">
        <v>11554740</v>
      </c>
      <c r="F4" s="99"/>
      <c r="G4" s="6">
        <v>3210000</v>
      </c>
      <c r="H4" s="6">
        <v>627500</v>
      </c>
      <c r="I4" s="6">
        <v>143000</v>
      </c>
      <c r="J4" s="99"/>
      <c r="K4" s="23">
        <v>1887500</v>
      </c>
      <c r="L4" s="23">
        <f t="shared" ref="L4:L27" si="0">E4+F4+G4+H4+I4+J4+K4</f>
        <v>17422740</v>
      </c>
      <c r="M4" s="23"/>
      <c r="N4" s="23">
        <v>21400000</v>
      </c>
      <c r="O4" s="23">
        <f>M4+N4-L4</f>
        <v>3977260</v>
      </c>
    </row>
    <row r="5" spans="1:15">
      <c r="A5" s="100"/>
      <c r="B5" s="97" t="s">
        <v>22</v>
      </c>
      <c r="C5" s="97" t="s">
        <v>21</v>
      </c>
      <c r="D5" s="98">
        <v>35</v>
      </c>
      <c r="E5" s="6">
        <v>923475</v>
      </c>
      <c r="F5" s="99"/>
      <c r="G5" s="6"/>
      <c r="H5" s="6">
        <v>70000</v>
      </c>
      <c r="I5" s="6">
        <v>121440</v>
      </c>
      <c r="J5" s="99"/>
      <c r="K5" s="23"/>
      <c r="L5" s="23">
        <f t="shared" si="0"/>
        <v>1114915</v>
      </c>
      <c r="M5" s="23"/>
      <c r="N5" s="23">
        <v>1765000</v>
      </c>
      <c r="O5" s="23">
        <f t="shared" ref="O5:O27" si="1">M5+N5-L5</f>
        <v>650085</v>
      </c>
    </row>
    <row r="6" spans="1:15">
      <c r="A6" s="101">
        <f>ROW()-4</f>
        <v>2</v>
      </c>
      <c r="B6" s="97" t="s">
        <v>23</v>
      </c>
      <c r="C6" s="97" t="s">
        <v>46</v>
      </c>
      <c r="D6" s="98">
        <v>22</v>
      </c>
      <c r="E6" s="102">
        <v>935000</v>
      </c>
      <c r="F6" s="99"/>
      <c r="G6" s="6"/>
      <c r="H6" s="99"/>
      <c r="I6" s="99"/>
      <c r="J6" s="99"/>
      <c r="K6" s="23"/>
      <c r="L6" s="23">
        <f t="shared" si="0"/>
        <v>935000</v>
      </c>
      <c r="M6" s="23">
        <v>100000</v>
      </c>
      <c r="N6" s="23">
        <v>1155000</v>
      </c>
      <c r="O6" s="23">
        <f t="shared" si="1"/>
        <v>320000</v>
      </c>
    </row>
    <row r="7" spans="1:15">
      <c r="A7" s="101">
        <f t="shared" ref="A7:A16" si="2">ROW()-4</f>
        <v>3</v>
      </c>
      <c r="B7" s="97" t="s">
        <v>25</v>
      </c>
      <c r="C7" s="97" t="s">
        <v>21</v>
      </c>
      <c r="D7" s="98">
        <v>21</v>
      </c>
      <c r="E7" s="99">
        <v>694050</v>
      </c>
      <c r="F7" s="99"/>
      <c r="G7" s="6">
        <v>126000</v>
      </c>
      <c r="H7" s="6">
        <v>44000</v>
      </c>
      <c r="I7" s="99">
        <v>38730</v>
      </c>
      <c r="J7" s="99"/>
      <c r="K7" s="23"/>
      <c r="L7" s="23">
        <f t="shared" si="0"/>
        <v>902780</v>
      </c>
      <c r="M7" s="23"/>
      <c r="N7" s="23">
        <v>1772000</v>
      </c>
      <c r="O7" s="23">
        <f t="shared" si="1"/>
        <v>869220</v>
      </c>
    </row>
    <row r="8" spans="1:15">
      <c r="A8" s="101">
        <f t="shared" si="2"/>
        <v>4</v>
      </c>
      <c r="B8" s="97" t="s">
        <v>26</v>
      </c>
      <c r="C8" s="97" t="s">
        <v>27</v>
      </c>
      <c r="D8" s="98">
        <v>30</v>
      </c>
      <c r="E8" s="6">
        <v>1882350</v>
      </c>
      <c r="F8" s="99"/>
      <c r="G8" s="6">
        <v>930000</v>
      </c>
      <c r="H8" s="99"/>
      <c r="I8" s="99"/>
      <c r="J8" s="6">
        <v>111000</v>
      </c>
      <c r="K8" s="23"/>
      <c r="L8" s="23">
        <f t="shared" si="0"/>
        <v>2923350</v>
      </c>
      <c r="M8" s="23"/>
      <c r="N8" s="23">
        <v>4865000</v>
      </c>
      <c r="O8" s="23">
        <f t="shared" si="1"/>
        <v>1941650</v>
      </c>
    </row>
    <row r="9" spans="1:15">
      <c r="A9" s="101">
        <f t="shared" si="2"/>
        <v>5</v>
      </c>
      <c r="B9" s="97" t="s">
        <v>28</v>
      </c>
      <c r="C9" s="97" t="s">
        <v>29</v>
      </c>
      <c r="D9" s="98">
        <v>1</v>
      </c>
      <c r="E9" s="6">
        <v>110280</v>
      </c>
      <c r="F9" s="99"/>
      <c r="G9" s="6">
        <v>40000</v>
      </c>
      <c r="H9" s="99"/>
      <c r="I9" s="99"/>
      <c r="J9" s="99"/>
      <c r="K9" s="23">
        <v>11000</v>
      </c>
      <c r="L9" s="23">
        <f t="shared" si="0"/>
        <v>161280</v>
      </c>
      <c r="M9" s="23">
        <v>250000</v>
      </c>
      <c r="N9" s="23"/>
      <c r="O9" s="23">
        <f t="shared" si="1"/>
        <v>88720</v>
      </c>
    </row>
    <row r="10" spans="1:15">
      <c r="A10" s="101">
        <f t="shared" si="2"/>
        <v>6</v>
      </c>
      <c r="B10" s="97" t="s">
        <v>30</v>
      </c>
      <c r="C10" s="97" t="s">
        <v>24</v>
      </c>
      <c r="D10" s="98">
        <v>30</v>
      </c>
      <c r="E10" s="6">
        <v>1214500</v>
      </c>
      <c r="F10" s="99"/>
      <c r="G10" s="6"/>
      <c r="H10" s="99"/>
      <c r="I10" s="99"/>
      <c r="J10" s="99"/>
      <c r="K10" s="23">
        <v>83800</v>
      </c>
      <c r="L10" s="23">
        <f t="shared" si="0"/>
        <v>1298300</v>
      </c>
      <c r="M10" s="23"/>
      <c r="N10" s="23">
        <v>2500000</v>
      </c>
      <c r="O10" s="23">
        <f t="shared" si="1"/>
        <v>1201700</v>
      </c>
    </row>
    <row r="11" customFormat="1" spans="1:15">
      <c r="A11" s="101">
        <f t="shared" si="2"/>
        <v>7</v>
      </c>
      <c r="B11" s="97" t="s">
        <v>31</v>
      </c>
      <c r="C11" s="97" t="s">
        <v>27</v>
      </c>
      <c r="D11" s="98">
        <v>44</v>
      </c>
      <c r="E11" s="102">
        <v>1873000</v>
      </c>
      <c r="F11" s="99"/>
      <c r="G11" s="6"/>
      <c r="H11" s="99"/>
      <c r="I11" s="99"/>
      <c r="J11" s="6"/>
      <c r="K11" s="23"/>
      <c r="L11" s="23">
        <f t="shared" si="0"/>
        <v>1873000</v>
      </c>
      <c r="M11" s="23"/>
      <c r="N11" s="23">
        <v>3020000</v>
      </c>
      <c r="O11" s="23">
        <f t="shared" si="1"/>
        <v>1147000</v>
      </c>
    </row>
    <row r="12" spans="1:15">
      <c r="A12" s="101">
        <f t="shared" si="2"/>
        <v>8</v>
      </c>
      <c r="B12" s="97" t="s">
        <v>32</v>
      </c>
      <c r="C12" s="97" t="s">
        <v>33</v>
      </c>
      <c r="D12" s="98">
        <v>48</v>
      </c>
      <c r="E12" s="102">
        <v>2490500</v>
      </c>
      <c r="F12" s="102">
        <v>179600</v>
      </c>
      <c r="G12" s="6"/>
      <c r="H12" s="99"/>
      <c r="I12" s="99"/>
      <c r="J12" s="6"/>
      <c r="K12" s="23">
        <v>57700</v>
      </c>
      <c r="L12" s="23">
        <f t="shared" si="0"/>
        <v>2727800</v>
      </c>
      <c r="M12" s="23"/>
      <c r="N12" s="23">
        <v>4105000</v>
      </c>
      <c r="O12" s="23">
        <f t="shared" si="1"/>
        <v>1377200</v>
      </c>
    </row>
    <row r="13" spans="1:15">
      <c r="A13" s="101">
        <f t="shared" si="2"/>
        <v>9</v>
      </c>
      <c r="B13" s="97" t="s">
        <v>34</v>
      </c>
      <c r="C13" s="97" t="s">
        <v>35</v>
      </c>
      <c r="D13" s="98">
        <v>35</v>
      </c>
      <c r="E13" s="6"/>
      <c r="F13" s="99"/>
      <c r="G13" s="6"/>
      <c r="H13" s="99"/>
      <c r="I13" s="99"/>
      <c r="J13" s="6"/>
      <c r="K13" s="23"/>
      <c r="L13" s="23">
        <f t="shared" si="0"/>
        <v>0</v>
      </c>
      <c r="M13" s="23"/>
      <c r="N13" s="4">
        <v>3700000</v>
      </c>
      <c r="O13" s="23">
        <f t="shared" si="1"/>
        <v>3700000</v>
      </c>
    </row>
    <row r="14" spans="1:15">
      <c r="A14" s="101">
        <f t="shared" si="2"/>
        <v>10</v>
      </c>
      <c r="B14" s="97" t="s">
        <v>36</v>
      </c>
      <c r="C14" s="97" t="s">
        <v>21</v>
      </c>
      <c r="D14" s="98">
        <v>47</v>
      </c>
      <c r="E14" s="6">
        <v>1769625</v>
      </c>
      <c r="F14" s="6"/>
      <c r="G14" s="6"/>
      <c r="H14" s="6"/>
      <c r="I14" s="6"/>
      <c r="J14" s="99"/>
      <c r="K14" s="23"/>
      <c r="L14" s="23">
        <f t="shared" si="0"/>
        <v>1769625</v>
      </c>
      <c r="M14" s="23"/>
      <c r="N14" s="23">
        <v>2000000</v>
      </c>
      <c r="O14" s="23">
        <f t="shared" si="1"/>
        <v>230375</v>
      </c>
    </row>
    <row r="15" spans="1:15">
      <c r="A15" s="101">
        <f t="shared" si="2"/>
        <v>11</v>
      </c>
      <c r="B15" s="97" t="s">
        <v>37</v>
      </c>
      <c r="C15" s="97" t="s">
        <v>24</v>
      </c>
      <c r="D15" s="98">
        <v>34</v>
      </c>
      <c r="E15" s="102">
        <v>1546300</v>
      </c>
      <c r="F15" s="99"/>
      <c r="G15" s="6"/>
      <c r="H15" s="99"/>
      <c r="I15" s="99"/>
      <c r="J15" s="99"/>
      <c r="K15" s="23"/>
      <c r="L15" s="23">
        <f t="shared" si="0"/>
        <v>1546300</v>
      </c>
      <c r="M15" s="23">
        <v>100000</v>
      </c>
      <c r="N15" s="4">
        <v>2055000</v>
      </c>
      <c r="O15" s="23">
        <f t="shared" si="1"/>
        <v>608700</v>
      </c>
    </row>
    <row r="16" spans="1:15">
      <c r="A16" s="101">
        <f t="shared" si="2"/>
        <v>12</v>
      </c>
      <c r="B16" s="97" t="s">
        <v>38</v>
      </c>
      <c r="C16" s="97" t="s">
        <v>39</v>
      </c>
      <c r="D16" s="98">
        <v>16</v>
      </c>
      <c r="E16" s="6">
        <v>1076000</v>
      </c>
      <c r="F16" s="99"/>
      <c r="G16" s="6"/>
      <c r="H16" s="99"/>
      <c r="I16" s="6"/>
      <c r="J16" s="99"/>
      <c r="K16" s="23"/>
      <c r="L16" s="23">
        <f t="shared" si="0"/>
        <v>1076000</v>
      </c>
      <c r="M16" s="23"/>
      <c r="N16" s="4">
        <v>2480000</v>
      </c>
      <c r="O16" s="23">
        <f t="shared" si="1"/>
        <v>1404000</v>
      </c>
    </row>
    <row r="17" spans="1:15">
      <c r="A17" s="101">
        <f t="shared" ref="A17:A27" si="3">ROW()-4</f>
        <v>13</v>
      </c>
      <c r="B17" s="97" t="s">
        <v>40</v>
      </c>
      <c r="C17" s="97" t="s">
        <v>21</v>
      </c>
      <c r="D17" s="98">
        <v>16</v>
      </c>
      <c r="E17" s="6">
        <v>565000</v>
      </c>
      <c r="F17" s="99"/>
      <c r="G17" s="6"/>
      <c r="H17" s="6"/>
      <c r="I17" s="6"/>
      <c r="J17" s="99"/>
      <c r="K17" s="23"/>
      <c r="L17" s="23">
        <f t="shared" si="0"/>
        <v>565000</v>
      </c>
      <c r="M17" s="23"/>
      <c r="N17" s="23">
        <v>750000</v>
      </c>
      <c r="O17" s="23">
        <f t="shared" si="1"/>
        <v>185000</v>
      </c>
    </row>
    <row r="18" spans="1:15">
      <c r="A18" s="101">
        <f t="shared" si="3"/>
        <v>14</v>
      </c>
      <c r="B18" s="97" t="s">
        <v>41</v>
      </c>
      <c r="C18" s="97" t="s">
        <v>24</v>
      </c>
      <c r="D18" s="98">
        <v>25</v>
      </c>
      <c r="E18" s="6"/>
      <c r="F18" s="99"/>
      <c r="G18" s="6"/>
      <c r="H18" s="99"/>
      <c r="I18" s="99"/>
      <c r="J18" s="99"/>
      <c r="K18" s="23"/>
      <c r="L18" s="23">
        <f t="shared" si="0"/>
        <v>0</v>
      </c>
      <c r="M18" s="23"/>
      <c r="N18" s="23">
        <v>2110000</v>
      </c>
      <c r="O18" s="23">
        <f t="shared" si="1"/>
        <v>2110000</v>
      </c>
    </row>
    <row r="19" spans="1:15">
      <c r="A19" s="101">
        <f t="shared" si="3"/>
        <v>15</v>
      </c>
      <c r="B19" s="97" t="s">
        <v>42</v>
      </c>
      <c r="C19" s="97" t="s">
        <v>24</v>
      </c>
      <c r="D19" s="98">
        <v>104</v>
      </c>
      <c r="E19" s="6">
        <v>3738560</v>
      </c>
      <c r="F19" s="99"/>
      <c r="G19" s="6"/>
      <c r="H19" s="99"/>
      <c r="I19" s="99"/>
      <c r="J19" s="99"/>
      <c r="K19" s="23">
        <v>12000</v>
      </c>
      <c r="L19" s="23">
        <f t="shared" si="0"/>
        <v>3750560</v>
      </c>
      <c r="M19" s="23"/>
      <c r="N19" s="4">
        <v>3755000</v>
      </c>
      <c r="O19" s="23">
        <f t="shared" si="1"/>
        <v>4440</v>
      </c>
    </row>
    <row r="20" spans="1:15">
      <c r="A20" s="101">
        <f t="shared" si="3"/>
        <v>16</v>
      </c>
      <c r="B20" s="97" t="s">
        <v>43</v>
      </c>
      <c r="C20" s="97" t="s">
        <v>21</v>
      </c>
      <c r="D20" s="98">
        <v>50</v>
      </c>
      <c r="E20" s="6">
        <v>1385855</v>
      </c>
      <c r="F20" s="99"/>
      <c r="G20" s="6"/>
      <c r="H20" s="6">
        <v>125000</v>
      </c>
      <c r="I20" s="6">
        <v>162150</v>
      </c>
      <c r="J20" s="99"/>
      <c r="K20" s="23"/>
      <c r="L20" s="23">
        <f t="shared" si="0"/>
        <v>1673005</v>
      </c>
      <c r="M20" s="23"/>
      <c r="N20" s="23">
        <v>1385855</v>
      </c>
      <c r="O20" s="23">
        <f t="shared" si="1"/>
        <v>-287150</v>
      </c>
    </row>
    <row r="21" spans="1:15">
      <c r="A21" s="101">
        <f t="shared" si="3"/>
        <v>17</v>
      </c>
      <c r="B21" s="97" t="s">
        <v>44</v>
      </c>
      <c r="C21" s="97"/>
      <c r="D21" s="98">
        <v>160</v>
      </c>
      <c r="E21" s="6">
        <v>2376750</v>
      </c>
      <c r="F21" s="99"/>
      <c r="G21" s="6"/>
      <c r="H21" s="99"/>
      <c r="I21" s="6"/>
      <c r="J21" s="6"/>
      <c r="K21" s="23">
        <v>200000</v>
      </c>
      <c r="L21" s="23">
        <f t="shared" si="0"/>
        <v>2576750</v>
      </c>
      <c r="M21" s="23"/>
      <c r="N21" s="4">
        <v>13936000</v>
      </c>
      <c r="O21" s="23">
        <f t="shared" si="1"/>
        <v>11359250</v>
      </c>
    </row>
    <row r="22" spans="1:15">
      <c r="A22" s="101">
        <f t="shared" si="3"/>
        <v>18</v>
      </c>
      <c r="B22" s="97" t="s">
        <v>45</v>
      </c>
      <c r="C22" s="97" t="s">
        <v>46</v>
      </c>
      <c r="D22" s="98">
        <v>60</v>
      </c>
      <c r="E22" s="6">
        <v>2898550</v>
      </c>
      <c r="F22" s="99"/>
      <c r="G22" s="6"/>
      <c r="H22" s="99">
        <v>122500</v>
      </c>
      <c r="I22" s="99">
        <v>25500</v>
      </c>
      <c r="J22" s="6"/>
      <c r="K22" s="23"/>
      <c r="L22" s="23">
        <f t="shared" si="0"/>
        <v>3046550</v>
      </c>
      <c r="M22" s="4">
        <v>2500000</v>
      </c>
      <c r="N22" s="4">
        <v>3075000</v>
      </c>
      <c r="O22" s="23">
        <f t="shared" si="1"/>
        <v>2528450</v>
      </c>
    </row>
    <row r="23" spans="1:15">
      <c r="A23" s="101">
        <f>ROW()-4</f>
        <v>19</v>
      </c>
      <c r="B23" s="3" t="s">
        <v>47</v>
      </c>
      <c r="C23" s="3" t="s">
        <v>21</v>
      </c>
      <c r="D23" s="1">
        <v>12</v>
      </c>
      <c r="E23" s="8">
        <v>354125</v>
      </c>
      <c r="F23" s="102"/>
      <c r="G23" s="8"/>
      <c r="H23" s="8">
        <v>24000</v>
      </c>
      <c r="I23" s="8">
        <v>46000</v>
      </c>
      <c r="J23" s="102"/>
      <c r="K23" s="4"/>
      <c r="L23" s="23">
        <f>E23+F23+G23+H23+I23+J23+K23</f>
        <v>424125</v>
      </c>
      <c r="M23" s="4"/>
      <c r="N23" s="4"/>
      <c r="O23" s="23">
        <f>M23+N23-L23</f>
        <v>-424125</v>
      </c>
    </row>
    <row r="24" spans="1:15">
      <c r="A24" s="101">
        <f>ROW()-4</f>
        <v>20</v>
      </c>
      <c r="B24" s="3" t="s">
        <v>48</v>
      </c>
      <c r="C24" s="3" t="s">
        <v>46</v>
      </c>
      <c r="D24" s="1">
        <v>33</v>
      </c>
      <c r="E24" s="8">
        <v>1862750</v>
      </c>
      <c r="F24" s="102"/>
      <c r="G24" s="8"/>
      <c r="H24" s="102"/>
      <c r="I24" s="102"/>
      <c r="J24" s="8"/>
      <c r="K24" s="4">
        <v>124950</v>
      </c>
      <c r="L24" s="23">
        <f>E24+F24+G24+H24+I24+J24+K24</f>
        <v>1987700</v>
      </c>
      <c r="M24" s="4"/>
      <c r="N24" s="4">
        <v>4035000</v>
      </c>
      <c r="O24" s="23">
        <f>M24+N24-L24</f>
        <v>2047300</v>
      </c>
    </row>
    <row r="25" spans="1:15">
      <c r="A25" s="101">
        <f>ROW()-4</f>
        <v>21</v>
      </c>
      <c r="B25" s="97" t="s">
        <v>49</v>
      </c>
      <c r="C25" s="97" t="s">
        <v>24</v>
      </c>
      <c r="D25" s="98">
        <v>12</v>
      </c>
      <c r="E25" s="6"/>
      <c r="F25" s="99"/>
      <c r="G25" s="6"/>
      <c r="H25" s="99"/>
      <c r="I25" s="99"/>
      <c r="J25" s="99"/>
      <c r="K25" s="23"/>
      <c r="L25" s="23">
        <f>E25+F25+G25+H25+I25+J25+K25</f>
        <v>0</v>
      </c>
      <c r="M25" s="23"/>
      <c r="N25" s="23"/>
      <c r="O25" s="23">
        <f>M25+N25-L25</f>
        <v>0</v>
      </c>
    </row>
    <row r="26" spans="1:15">
      <c r="A26" s="101">
        <f>ROW()-4</f>
        <v>22</v>
      </c>
      <c r="B26" s="3" t="s">
        <v>50</v>
      </c>
      <c r="C26" s="3" t="s">
        <v>24</v>
      </c>
      <c r="D26" s="1">
        <v>181</v>
      </c>
      <c r="E26" s="8">
        <v>5579200</v>
      </c>
      <c r="F26" s="102"/>
      <c r="G26" s="102">
        <v>1910000</v>
      </c>
      <c r="H26" s="102"/>
      <c r="I26" s="102"/>
      <c r="J26" s="102"/>
      <c r="K26" s="4">
        <v>6941460</v>
      </c>
      <c r="L26" s="23">
        <f>E26+F26+G26+H26+I26+J26+K26</f>
        <v>14430660</v>
      </c>
      <c r="M26" s="4"/>
      <c r="N26" s="4">
        <v>12378000</v>
      </c>
      <c r="O26" s="23">
        <f>M26+N26-L26</f>
        <v>-2052660</v>
      </c>
    </row>
    <row r="27" customFormat="1" spans="1:15">
      <c r="D27" s="14">
        <f>SUM(D4:D25)</f>
        <v>1335</v>
      </c>
      <c r="E27" s="2"/>
      <c r="F27" s="2"/>
      <c r="G27" s="2"/>
      <c r="H27" s="2"/>
      <c r="I27" s="2"/>
      <c r="J27" s="2"/>
      <c r="K27" s="2"/>
      <c r="L27" s="2">
        <f>SUM(L4:L26)</f>
        <v>62205440</v>
      </c>
      <c r="M27" s="60">
        <f>SUM(M4:M26)</f>
        <v>2950000</v>
      </c>
      <c r="N27" s="60">
        <f>SUM(N4:N26)</f>
        <v>92241855</v>
      </c>
      <c r="O27" s="2">
        <f>SUM(O4:O26)</f>
        <v>32986415</v>
      </c>
    </row>
    <row r="28" customFormat="1" spans="1:15"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1" spans="1:15"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1" spans="1:15">
      <c r="D30" s="1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1" spans="1:15"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1" spans="1:15">
      <c r="D32" s="1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1" spans="4:15"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1" spans="4:15"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1" spans="4:15"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1" spans="4:1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1" spans="4:15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1" spans="4:15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1" spans="4:15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1" spans="4:15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1" spans="4:1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1" spans="4:15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1" spans="4:1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1" spans="4:15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1" spans="4:15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customFormat="1" spans="4:15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1" spans="4:1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1" spans="4:15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1" spans="5:1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customFormat="1" spans="5:15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1" spans="5:15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1" spans="5:15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1" spans="5:15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1" spans="5:15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1" spans="5:15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1" spans="5:15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1" spans="5:15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1" spans="5:15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1" spans="5:15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1" spans="5:15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1" spans="5:15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1" spans="5:1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1" spans="5:1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1" spans="5:15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1" spans="5:15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1" spans="5:15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1" spans="5:15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1" spans="5:15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1" spans="5:15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1" spans="5:15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1" spans="5:15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1" spans="5:15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1" spans="5:15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customFormat="1" spans="5:15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customFormat="1" spans="5:15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customFormat="1" spans="5:15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1" spans="5:15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1" spans="5:15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1" spans="5:15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customFormat="1" spans="5:15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customFormat="1" spans="5:15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customFormat="1" spans="5:15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customFormat="1" spans="5:15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customFormat="1" spans="5:15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customFormat="1" spans="5:15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1" spans="5:1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customFormat="1" spans="5:1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customFormat="1" spans="5:15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customFormat="1" spans="5:15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customFormat="1" spans="5:15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1" spans="5:15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1" spans="5:15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1" spans="5:15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1" spans="5:15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1" spans="5:1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1" spans="5:15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1" spans="5:1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customFormat="1" spans="5:15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1" spans="5:1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1" spans="5:15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1" spans="5:15">
      <c r="L101" s="2"/>
      <c r="M101" s="2"/>
      <c r="N101" s="2"/>
      <c r="O101" s="2"/>
    </row>
    <row r="102" customFormat="1" spans="5:15">
      <c r="L102" s="2"/>
      <c r="M102" s="2"/>
      <c r="N102" s="2"/>
      <c r="O102" s="2"/>
    </row>
    <row r="103" customFormat="1" spans="5:15">
      <c r="L103" s="2"/>
      <c r="M103" s="2"/>
      <c r="N103" s="2"/>
      <c r="O103" s="2"/>
    </row>
    <row r="104" customFormat="1" spans="5:15">
      <c r="L104" s="2"/>
      <c r="M104" s="2"/>
      <c r="N104" s="2"/>
      <c r="O104" s="2"/>
    </row>
    <row r="105" customFormat="1" spans="5:15">
      <c r="L105" s="2"/>
      <c r="M105" s="2"/>
      <c r="N105" s="2"/>
      <c r="O105" s="2"/>
    </row>
    <row r="106" customFormat="1" spans="5:15">
      <c r="L106" s="2"/>
      <c r="M106" s="2"/>
      <c r="N106" s="2"/>
      <c r="O106" s="2"/>
    </row>
    <row r="107" customFormat="1" spans="5:15">
      <c r="L107" s="2"/>
      <c r="M107" s="2"/>
      <c r="N107" s="2"/>
      <c r="O107" s="2"/>
    </row>
    <row r="108" customFormat="1" spans="5:15">
      <c r="L108" s="2"/>
      <c r="M108" s="2"/>
      <c r="N108" s="2"/>
      <c r="O108" s="2"/>
    </row>
    <row r="109" customFormat="1" spans="5:15">
      <c r="L109" s="2"/>
      <c r="M109" s="2"/>
      <c r="N109" s="2"/>
      <c r="O109" s="2"/>
    </row>
    <row r="110" customFormat="1" spans="5:15">
      <c r="L110" s="2"/>
      <c r="M110" s="2"/>
      <c r="N110" s="2"/>
      <c r="O110" s="2"/>
    </row>
    <row r="111" customFormat="1" spans="5:15">
      <c r="L111" s="2"/>
      <c r="M111" s="2"/>
      <c r="N111" s="2"/>
      <c r="O111" s="2"/>
    </row>
    <row r="112" customFormat="1" spans="5:15">
      <c r="L112" s="2"/>
      <c r="M112" s="2"/>
      <c r="N112" s="2"/>
      <c r="O112" s="2"/>
    </row>
  </sheetData>
  <mergeCells count="16">
    <mergeCell ref="A1:D1"/>
    <mergeCell ref="E1:K1"/>
    <mergeCell ref="E2:G2"/>
    <mergeCell ref="A2:A3"/>
    <mergeCell ref="A4:A5"/>
    <mergeCell ref="B2:B3"/>
    <mergeCell ref="C2:C3"/>
    <mergeCell ref="D2:D3"/>
    <mergeCell ref="H2:H3"/>
    <mergeCell ref="I2:I3"/>
    <mergeCell ref="J2:J3"/>
    <mergeCell ref="K2:K3"/>
    <mergeCell ref="L1:L3"/>
    <mergeCell ref="M1:M3"/>
    <mergeCell ref="N1:N3"/>
    <mergeCell ref="O1:O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zoomScale="115" zoomScaleNormal="115" workbookViewId="0">
      <selection activeCell="H8" sqref="H8"/>
    </sheetView>
  </sheetViews>
  <sheetFormatPr defaultColWidth="8.88888888888889" defaultRowHeight="14.4" outlineLevelCol="6"/>
  <cols>
    <col min="1" max="1" width="25.1111111111111" customWidth="1"/>
    <col min="2" max="2" width="46.1111111111111" customWidth="1"/>
    <col min="3" max="3" width="20.6666666666667" customWidth="1"/>
    <col min="5" max="5" width="31.1111111111111" customWidth="1"/>
    <col min="6" max="6" width="14.2222222222222"/>
  </cols>
  <sheetData>
    <row r="1" spans="1:7">
      <c r="A1" s="1" t="s">
        <v>359</v>
      </c>
      <c r="B1" s="1"/>
      <c r="C1" s="1"/>
    </row>
    <row r="2" ht="21" spans="1:7">
      <c r="A2" s="16" t="s">
        <v>360</v>
      </c>
      <c r="B2" s="17"/>
      <c r="C2" s="17"/>
    </row>
    <row r="3" spans="1:7">
      <c r="A3" s="18" t="s">
        <v>59</v>
      </c>
      <c r="B3" s="18" t="s">
        <v>60</v>
      </c>
      <c r="C3" s="18" t="s">
        <v>61</v>
      </c>
      <c r="E3" s="19" t="s">
        <v>361</v>
      </c>
      <c r="F3" s="19"/>
    </row>
    <row r="4" spans="1:7">
      <c r="A4" s="20" t="s">
        <v>63</v>
      </c>
      <c r="B4" s="21" t="s">
        <v>71</v>
      </c>
      <c r="C4" s="22">
        <v>752000</v>
      </c>
      <c r="E4" s="23" t="s">
        <v>243</v>
      </c>
      <c r="F4" s="23">
        <f>C46</f>
        <v>233100</v>
      </c>
    </row>
    <row r="5" spans="1:7">
      <c r="A5" s="20" t="s">
        <v>73</v>
      </c>
      <c r="B5" s="24" t="s">
        <v>74</v>
      </c>
      <c r="C5" s="25">
        <v>100000</v>
      </c>
      <c r="E5" s="26" t="s">
        <v>362</v>
      </c>
      <c r="F5" s="23">
        <f>C19</f>
        <v>127500</v>
      </c>
    </row>
    <row r="6" spans="1:7">
      <c r="A6" s="27"/>
      <c r="B6" s="24" t="s">
        <v>74</v>
      </c>
      <c r="C6" s="25">
        <v>100000</v>
      </c>
      <c r="E6" s="28" t="s">
        <v>120</v>
      </c>
      <c r="F6" s="23">
        <f>C15+C28+C52+C69+C70+C71</f>
        <v>1817500</v>
      </c>
    </row>
    <row r="7" spans="1:7">
      <c r="A7" s="20" t="s">
        <v>83</v>
      </c>
      <c r="B7" s="29" t="s">
        <v>91</v>
      </c>
      <c r="C7" s="30">
        <v>78625</v>
      </c>
      <c r="E7" s="31" t="s">
        <v>71</v>
      </c>
      <c r="F7" s="23">
        <f>C4</f>
        <v>752000</v>
      </c>
    </row>
    <row r="8" spans="1:7">
      <c r="A8" s="27"/>
      <c r="B8" s="32" t="s">
        <v>92</v>
      </c>
      <c r="C8" s="33">
        <v>120000</v>
      </c>
      <c r="E8" s="34" t="s">
        <v>363</v>
      </c>
      <c r="F8" s="23">
        <f>C22</f>
        <v>65000</v>
      </c>
    </row>
    <row r="9" spans="1:7">
      <c r="A9" s="35"/>
      <c r="B9" s="36" t="s">
        <v>94</v>
      </c>
      <c r="C9" s="37">
        <v>200000</v>
      </c>
      <c r="E9" s="38" t="s">
        <v>138</v>
      </c>
      <c r="F9" s="23">
        <f>C16+C18+C24+C51+C57+C63</f>
        <v>409500</v>
      </c>
    </row>
    <row r="10" spans="1:7">
      <c r="A10" s="20" t="s">
        <v>96</v>
      </c>
      <c r="B10" s="24" t="s">
        <v>74</v>
      </c>
      <c r="C10" s="25">
        <v>10000</v>
      </c>
      <c r="E10" s="25" t="s">
        <v>74</v>
      </c>
      <c r="F10" s="23">
        <f>C5+C6+C10+C11+C14+C25+C30+C32+C41+C49+C53+C58</f>
        <v>1100000</v>
      </c>
    </row>
    <row r="11" spans="1:7">
      <c r="A11" s="27"/>
      <c r="B11" s="24" t="s">
        <v>74</v>
      </c>
      <c r="C11" s="25">
        <v>90000</v>
      </c>
      <c r="E11" s="39" t="s">
        <v>164</v>
      </c>
      <c r="F11" s="23">
        <f>C21</f>
        <v>53500</v>
      </c>
    </row>
    <row r="12" spans="1:7">
      <c r="A12" s="27"/>
      <c r="B12" s="40" t="s">
        <v>109</v>
      </c>
      <c r="C12" s="41">
        <v>203500</v>
      </c>
      <c r="E12" s="41" t="s">
        <v>364</v>
      </c>
      <c r="F12" s="23">
        <f>C12+C29+C54+C20</f>
        <v>664000</v>
      </c>
    </row>
    <row r="13" spans="1:7">
      <c r="A13" s="27"/>
      <c r="B13" s="32" t="s">
        <v>111</v>
      </c>
      <c r="C13" s="33">
        <v>54463</v>
      </c>
      <c r="E13" s="33" t="s">
        <v>365</v>
      </c>
      <c r="F13" s="23">
        <f>C8+C13+C17+C26+C43+C44+C50+C60+C72</f>
        <v>1354437</v>
      </c>
    </row>
    <row r="14" spans="1:7">
      <c r="A14" s="20" t="s">
        <v>114</v>
      </c>
      <c r="B14" s="24" t="s">
        <v>74</v>
      </c>
      <c r="C14" s="25">
        <v>100000</v>
      </c>
      <c r="E14" s="30" t="s">
        <v>29</v>
      </c>
      <c r="F14" s="23">
        <f>C7+C27+C33+C47+C48+C55</f>
        <v>496080</v>
      </c>
    </row>
    <row r="15" spans="1:7">
      <c r="A15" s="35"/>
      <c r="B15" s="42" t="s">
        <v>120</v>
      </c>
      <c r="C15" s="43">
        <v>402500</v>
      </c>
      <c r="E15" s="44" t="s">
        <v>366</v>
      </c>
      <c r="F15" s="23">
        <f>C23</f>
        <v>1352500</v>
      </c>
      <c r="G15" s="2"/>
    </row>
    <row r="16" spans="1:7">
      <c r="A16" s="20" t="s">
        <v>135</v>
      </c>
      <c r="B16" s="45" t="s">
        <v>138</v>
      </c>
      <c r="C16" s="38">
        <v>100000</v>
      </c>
      <c r="E16" s="46" t="s">
        <v>367</v>
      </c>
      <c r="F16" s="23">
        <f>C37+C59+C61+C65</f>
        <v>651500</v>
      </c>
      <c r="G16" s="2"/>
    </row>
    <row r="17" spans="1:7">
      <c r="A17" s="27"/>
      <c r="B17" s="47" t="s">
        <v>139</v>
      </c>
      <c r="C17" s="48">
        <v>7000</v>
      </c>
      <c r="E17" s="49" t="s">
        <v>368</v>
      </c>
      <c r="F17" s="23">
        <f>C31+C34+C35+C36+C38+C40+C42+C45</f>
        <v>975550</v>
      </c>
      <c r="G17" s="2"/>
    </row>
    <row r="18" spans="1:7">
      <c r="A18" s="35"/>
      <c r="B18" s="50" t="s">
        <v>138</v>
      </c>
      <c r="C18" s="51">
        <v>100000</v>
      </c>
      <c r="E18" s="3" t="s">
        <v>369</v>
      </c>
      <c r="F18" s="4">
        <f>C39+C56</f>
        <v>171000</v>
      </c>
      <c r="G18" s="2"/>
    </row>
    <row r="19" spans="1:7">
      <c r="A19" s="20" t="s">
        <v>146</v>
      </c>
      <c r="B19" s="52" t="s">
        <v>147</v>
      </c>
      <c r="C19" s="53">
        <v>127500</v>
      </c>
      <c r="E19" s="54" t="s">
        <v>278</v>
      </c>
      <c r="F19" s="4">
        <f>C62+C64+C66+C67+C68</f>
        <v>448000</v>
      </c>
      <c r="G19" s="2"/>
    </row>
    <row r="20" spans="1:7">
      <c r="A20" s="27"/>
      <c r="B20" s="55" t="s">
        <v>109</v>
      </c>
      <c r="C20" s="56">
        <v>53500</v>
      </c>
      <c r="E20" s="57" t="s">
        <v>94</v>
      </c>
      <c r="F20" s="4">
        <f>C9</f>
        <v>200000</v>
      </c>
      <c r="G20" s="2"/>
    </row>
    <row r="21" spans="1:7">
      <c r="A21" s="35"/>
      <c r="B21" s="58" t="s">
        <v>164</v>
      </c>
      <c r="C21" s="59">
        <v>53500</v>
      </c>
      <c r="F21" s="60">
        <f>SUM(F4:F20)</f>
        <v>10871167</v>
      </c>
      <c r="G21" s="2"/>
    </row>
    <row r="22" spans="1:7">
      <c r="A22" s="1" t="s">
        <v>170</v>
      </c>
      <c r="B22" s="61" t="s">
        <v>171</v>
      </c>
      <c r="C22" s="62">
        <v>65000</v>
      </c>
      <c r="F22" s="2"/>
      <c r="G22" s="2"/>
    </row>
    <row r="23" spans="1:7">
      <c r="A23" s="20" t="s">
        <v>176</v>
      </c>
      <c r="B23" s="63" t="s">
        <v>177</v>
      </c>
      <c r="C23" s="64">
        <v>1352500</v>
      </c>
      <c r="F23" s="2"/>
      <c r="G23" s="2"/>
    </row>
    <row r="24" spans="1:7">
      <c r="A24" s="27"/>
      <c r="B24" s="50" t="s">
        <v>138</v>
      </c>
      <c r="C24" s="51">
        <v>31000</v>
      </c>
      <c r="F24" s="2"/>
      <c r="G24" s="2"/>
    </row>
    <row r="25" spans="1:7">
      <c r="A25" s="20" t="s">
        <v>189</v>
      </c>
      <c r="B25" s="65" t="s">
        <v>74</v>
      </c>
      <c r="C25" s="66">
        <v>100000</v>
      </c>
      <c r="F25" s="2"/>
      <c r="G25" s="2"/>
    </row>
    <row r="26" spans="1:7">
      <c r="A26" s="27"/>
      <c r="B26" s="47" t="s">
        <v>193</v>
      </c>
      <c r="C26" s="48">
        <v>202500</v>
      </c>
      <c r="G26" s="2"/>
    </row>
    <row r="27" spans="1:7">
      <c r="A27" s="27"/>
      <c r="B27" s="67" t="s">
        <v>194</v>
      </c>
      <c r="C27" s="68">
        <v>137575</v>
      </c>
    </row>
    <row r="28" spans="1:7">
      <c r="A28" s="35"/>
      <c r="B28" s="69" t="s">
        <v>120</v>
      </c>
      <c r="C28" s="70">
        <v>402500</v>
      </c>
    </row>
    <row r="29" spans="1:7">
      <c r="A29" s="20" t="s">
        <v>195</v>
      </c>
      <c r="B29" s="55" t="s">
        <v>109</v>
      </c>
      <c r="C29" s="56">
        <v>203500</v>
      </c>
    </row>
    <row r="30" spans="1:7">
      <c r="A30" s="27"/>
      <c r="B30" s="65" t="s">
        <v>74</v>
      </c>
      <c r="C30" s="66">
        <v>100000</v>
      </c>
    </row>
    <row r="31" spans="1:7">
      <c r="A31" s="27"/>
      <c r="B31" s="71" t="s">
        <v>203</v>
      </c>
      <c r="C31" s="72">
        <v>281050</v>
      </c>
    </row>
    <row r="32" spans="1:7">
      <c r="A32" s="35"/>
      <c r="B32" s="65" t="s">
        <v>74</v>
      </c>
      <c r="C32" s="66">
        <v>100000</v>
      </c>
    </row>
    <row r="33" spans="1:5">
      <c r="A33" s="1" t="s">
        <v>208</v>
      </c>
      <c r="B33" s="67" t="s">
        <v>209</v>
      </c>
      <c r="C33" s="68">
        <v>33800</v>
      </c>
    </row>
    <row r="34" spans="1:5">
      <c r="A34" s="73" t="s">
        <v>215</v>
      </c>
      <c r="B34" s="71" t="s">
        <v>216</v>
      </c>
      <c r="C34" s="72">
        <v>151000</v>
      </c>
    </row>
    <row r="35" spans="1:5">
      <c r="A35" s="74"/>
      <c r="B35" s="71" t="s">
        <v>217</v>
      </c>
      <c r="C35" s="72">
        <v>100000</v>
      </c>
    </row>
    <row r="36" spans="1:5">
      <c r="A36" s="74"/>
      <c r="B36" s="71" t="s">
        <v>218</v>
      </c>
      <c r="C36" s="72">
        <v>70000</v>
      </c>
    </row>
    <row r="37" spans="1:5">
      <c r="A37" s="74"/>
      <c r="B37" s="75" t="s">
        <v>222</v>
      </c>
      <c r="C37" s="76">
        <v>162000</v>
      </c>
    </row>
    <row r="38" spans="1:5">
      <c r="A38" s="74"/>
      <c r="B38" s="71" t="s">
        <v>223</v>
      </c>
      <c r="C38" s="72">
        <v>81000</v>
      </c>
    </row>
    <row r="39" spans="1:5">
      <c r="A39" s="74"/>
      <c r="B39" s="77" t="s">
        <v>259</v>
      </c>
      <c r="C39" s="8">
        <v>80000</v>
      </c>
    </row>
    <row r="40" spans="1:5">
      <c r="A40" s="74"/>
      <c r="B40" s="71" t="s">
        <v>225</v>
      </c>
      <c r="C40" s="72">
        <v>120000</v>
      </c>
    </row>
    <row r="41" spans="1:5">
      <c r="A41" s="74"/>
      <c r="B41" s="65" t="s">
        <v>74</v>
      </c>
      <c r="C41" s="66">
        <v>100000</v>
      </c>
    </row>
    <row r="42" spans="1:5">
      <c r="A42" s="74"/>
      <c r="B42" s="71" t="s">
        <v>233</v>
      </c>
      <c r="C42" s="72">
        <v>152500</v>
      </c>
    </row>
    <row r="43" spans="1:5">
      <c r="A43" s="74"/>
      <c r="B43" s="47" t="s">
        <v>370</v>
      </c>
      <c r="C43" s="78">
        <v>410000</v>
      </c>
    </row>
    <row r="44" spans="1:5">
      <c r="A44" s="74"/>
      <c r="B44" s="47" t="s">
        <v>371</v>
      </c>
      <c r="C44" s="78">
        <v>89000</v>
      </c>
    </row>
    <row r="45" spans="1:5">
      <c r="A45" s="79"/>
      <c r="B45" s="71" t="s">
        <v>372</v>
      </c>
      <c r="C45" s="80">
        <v>20000</v>
      </c>
    </row>
    <row r="46" spans="1:5">
      <c r="A46" s="20" t="s">
        <v>240</v>
      </c>
      <c r="B46" s="3" t="s">
        <v>243</v>
      </c>
      <c r="C46" s="4">
        <v>233100</v>
      </c>
    </row>
    <row r="47" spans="1:5">
      <c r="A47" s="27"/>
      <c r="B47" s="67" t="s">
        <v>244</v>
      </c>
      <c r="C47" s="68">
        <v>43680</v>
      </c>
    </row>
    <row r="48" spans="1:5">
      <c r="A48" s="27"/>
      <c r="B48" s="67" t="s">
        <v>245</v>
      </c>
      <c r="C48" s="68">
        <v>102400</v>
      </c>
      <c r="E48" s="14"/>
    </row>
    <row r="49" spans="1:3">
      <c r="A49" s="35"/>
      <c r="B49" s="65" t="s">
        <v>74</v>
      </c>
      <c r="C49" s="66">
        <v>100000</v>
      </c>
    </row>
    <row r="50" spans="1:3">
      <c r="A50" s="20" t="s">
        <v>246</v>
      </c>
      <c r="B50" s="47" t="s">
        <v>248</v>
      </c>
      <c r="C50" s="48">
        <v>304123</v>
      </c>
    </row>
    <row r="51" spans="1:3">
      <c r="A51" s="35"/>
      <c r="B51" s="50" t="s">
        <v>138</v>
      </c>
      <c r="C51" s="51">
        <v>44500</v>
      </c>
    </row>
    <row r="52" spans="1:3">
      <c r="A52" s="20" t="s">
        <v>250</v>
      </c>
      <c r="B52" s="69" t="s">
        <v>251</v>
      </c>
      <c r="C52" s="70">
        <v>402500</v>
      </c>
    </row>
    <row r="53" spans="1:3">
      <c r="A53" s="27"/>
      <c r="B53" s="65" t="s">
        <v>74</v>
      </c>
      <c r="C53" s="66">
        <v>100000</v>
      </c>
    </row>
    <row r="54" spans="1:3">
      <c r="A54" s="27"/>
      <c r="B54" s="55" t="s">
        <v>109</v>
      </c>
      <c r="C54" s="56">
        <v>203500</v>
      </c>
    </row>
    <row r="55" spans="1:3">
      <c r="A55" s="27"/>
      <c r="B55" s="67" t="s">
        <v>258</v>
      </c>
      <c r="C55" s="68">
        <v>100000</v>
      </c>
    </row>
    <row r="56" spans="1:3">
      <c r="A56" s="35"/>
      <c r="B56" s="3" t="s">
        <v>259</v>
      </c>
      <c r="C56" s="4">
        <v>91000</v>
      </c>
    </row>
    <row r="57" spans="1:3">
      <c r="A57" s="20" t="s">
        <v>260</v>
      </c>
      <c r="B57" s="50" t="s">
        <v>138</v>
      </c>
      <c r="C57" s="51">
        <v>34000</v>
      </c>
    </row>
    <row r="58" spans="1:3">
      <c r="A58" s="35"/>
      <c r="B58" s="65" t="s">
        <v>74</v>
      </c>
      <c r="C58" s="66">
        <v>100000</v>
      </c>
    </row>
    <row r="59" spans="1:3">
      <c r="A59" s="1" t="s">
        <v>264</v>
      </c>
      <c r="B59" s="75" t="s">
        <v>373</v>
      </c>
      <c r="C59" s="76">
        <v>100000</v>
      </c>
    </row>
    <row r="60" spans="1:3">
      <c r="A60" s="1"/>
      <c r="B60" s="47" t="s">
        <v>267</v>
      </c>
      <c r="C60" s="48">
        <v>114851</v>
      </c>
    </row>
    <row r="61" spans="1:3">
      <c r="A61" s="1"/>
      <c r="B61" s="75" t="s">
        <v>268</v>
      </c>
      <c r="C61" s="76">
        <v>87000</v>
      </c>
    </row>
    <row r="62" spans="1:3">
      <c r="A62" s="1"/>
      <c r="B62" s="54" t="s">
        <v>374</v>
      </c>
      <c r="C62" s="81">
        <v>50000</v>
      </c>
    </row>
    <row r="63" spans="1:3">
      <c r="A63" s="1"/>
      <c r="B63" s="50" t="s">
        <v>138</v>
      </c>
      <c r="C63" s="51">
        <v>100000</v>
      </c>
    </row>
    <row r="64" spans="1:3">
      <c r="A64" s="1"/>
      <c r="B64" s="54" t="s">
        <v>275</v>
      </c>
      <c r="C64" s="82">
        <v>136000</v>
      </c>
    </row>
    <row r="65" spans="1:3">
      <c r="A65" s="1"/>
      <c r="B65" s="75" t="s">
        <v>276</v>
      </c>
      <c r="C65" s="76">
        <v>302500</v>
      </c>
    </row>
    <row r="66" spans="1:3">
      <c r="A66" s="1" t="s">
        <v>277</v>
      </c>
      <c r="B66" s="54" t="s">
        <v>278</v>
      </c>
      <c r="C66" s="82">
        <v>100000</v>
      </c>
    </row>
    <row r="67" spans="1:3">
      <c r="A67" s="1"/>
      <c r="B67" s="54" t="s">
        <v>279</v>
      </c>
      <c r="C67" s="82">
        <v>147000</v>
      </c>
    </row>
    <row r="68" spans="1:3">
      <c r="A68" s="1"/>
      <c r="B68" s="54" t="s">
        <v>278</v>
      </c>
      <c r="C68" s="82">
        <v>15000</v>
      </c>
    </row>
    <row r="69" spans="1:3">
      <c r="A69" s="1" t="s">
        <v>280</v>
      </c>
      <c r="B69" s="83" t="s">
        <v>375</v>
      </c>
      <c r="C69" s="84">
        <v>400000</v>
      </c>
    </row>
    <row r="70" spans="1:3">
      <c r="A70" s="1"/>
      <c r="B70" s="83" t="s">
        <v>376</v>
      </c>
      <c r="C70" s="84">
        <v>100000</v>
      </c>
    </row>
    <row r="71" spans="1:3">
      <c r="A71" s="1"/>
      <c r="B71" s="83" t="s">
        <v>377</v>
      </c>
      <c r="C71" s="84">
        <v>110000</v>
      </c>
    </row>
    <row r="72" spans="1:3">
      <c r="A72" s="1"/>
      <c r="B72" s="47" t="s">
        <v>287</v>
      </c>
      <c r="C72" s="48">
        <v>52500</v>
      </c>
    </row>
  </sheetData>
  <mergeCells count="19">
    <mergeCell ref="A1:C1"/>
    <mergeCell ref="A2:C2"/>
    <mergeCell ref="E3:F3"/>
    <mergeCell ref="A5:A6"/>
    <mergeCell ref="A7:A9"/>
    <mergeCell ref="A10:A13"/>
    <mergeCell ref="A14:A15"/>
    <mergeCell ref="A16:A18"/>
    <mergeCell ref="A19:A21"/>
    <mergeCell ref="A23:A24"/>
    <mergeCell ref="A25:A28"/>
    <mergeCell ref="A29:A32"/>
    <mergeCell ref="A46:A49"/>
    <mergeCell ref="A50:A51"/>
    <mergeCell ref="A52:A56"/>
    <mergeCell ref="A57:A58"/>
    <mergeCell ref="A59:A65"/>
    <mergeCell ref="A66:A68"/>
    <mergeCell ref="A69:A7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G14" sqref="G14"/>
    </sheetView>
  </sheetViews>
  <sheetFormatPr defaultColWidth="8.88888888888889" defaultRowHeight="14.4"/>
  <cols>
    <col min="1" max="1" width="30.2222222222222" customWidth="1"/>
    <col min="2" max="2" width="14.4444444444444"/>
    <col min="3" max="3" width="3.22222222222222" customWidth="1"/>
    <col min="4" max="4" width="21.4444444444444" customWidth="1"/>
    <col min="5" max="5" width="11.4444444444444"/>
  </cols>
  <sheetData>
    <row r="1" spans="1:10">
      <c r="A1" s="1" t="s">
        <v>378</v>
      </c>
      <c r="B1" s="1"/>
      <c r="E1" s="2"/>
      <c r="F1" s="2"/>
      <c r="G1" s="2"/>
      <c r="H1" s="2"/>
      <c r="I1" s="2"/>
      <c r="J1" s="2"/>
    </row>
    <row r="2" spans="1:10">
      <c r="A2" s="1" t="s">
        <v>379</v>
      </c>
      <c r="B2" s="1"/>
      <c r="D2" s="1" t="s">
        <v>380</v>
      </c>
      <c r="E2" s="1"/>
      <c r="F2" s="2"/>
      <c r="G2" s="2"/>
      <c r="H2" s="2"/>
      <c r="I2" s="2"/>
      <c r="J2" s="2"/>
    </row>
    <row r="3" spans="1:10">
      <c r="A3" s="3" t="s">
        <v>381</v>
      </c>
      <c r="B3" s="4">
        <f>DP!N27+DP!M27</f>
        <v>95191855</v>
      </c>
      <c r="C3" s="2"/>
      <c r="D3" s="5" t="s">
        <v>313</v>
      </c>
      <c r="E3" s="6">
        <v>100000</v>
      </c>
      <c r="F3" s="2"/>
      <c r="G3" s="2"/>
      <c r="H3" s="2"/>
      <c r="I3" s="2"/>
      <c r="J3" s="2"/>
    </row>
    <row r="4" spans="1:10">
      <c r="A4" s="3" t="s">
        <v>382</v>
      </c>
      <c r="B4" s="4">
        <f>DP!L27</f>
        <v>62205440</v>
      </c>
      <c r="C4" s="2"/>
      <c r="D4" s="7" t="s">
        <v>314</v>
      </c>
      <c r="E4" s="6">
        <v>100000</v>
      </c>
      <c r="F4" s="2"/>
      <c r="G4" s="2"/>
      <c r="H4" s="2"/>
      <c r="I4" s="2"/>
      <c r="J4" s="2"/>
    </row>
    <row r="5" spans="1:10">
      <c r="A5" s="3" t="s">
        <v>383</v>
      </c>
      <c r="B5" s="4">
        <f>B3-B4</f>
        <v>32986415</v>
      </c>
      <c r="C5" s="2"/>
      <c r="D5" s="7" t="s">
        <v>318</v>
      </c>
      <c r="E5" s="8">
        <v>100000</v>
      </c>
      <c r="F5" s="2"/>
      <c r="G5" s="2"/>
      <c r="H5" s="2"/>
      <c r="I5" s="2"/>
      <c r="J5" s="2"/>
    </row>
    <row r="6" spans="1:10">
      <c r="B6" s="2"/>
      <c r="C6" s="2"/>
      <c r="D6" s="9" t="s">
        <v>327</v>
      </c>
      <c r="E6" s="8">
        <v>100000</v>
      </c>
      <c r="F6" s="2"/>
      <c r="G6" s="2"/>
      <c r="H6" s="2"/>
      <c r="I6" s="2"/>
      <c r="J6" s="2"/>
    </row>
    <row r="7" spans="1:10">
      <c r="A7" s="3" t="s">
        <v>384</v>
      </c>
      <c r="B7" s="4">
        <f>'PNGELUARAN MURNI'!F21</f>
        <v>10871167</v>
      </c>
      <c r="C7" s="2"/>
      <c r="D7" s="9" t="s">
        <v>328</v>
      </c>
      <c r="E7" s="8">
        <v>100000</v>
      </c>
      <c r="F7" s="2"/>
      <c r="G7" s="2"/>
      <c r="H7" s="2"/>
      <c r="I7" s="2"/>
      <c r="J7" s="2"/>
    </row>
    <row r="8" spans="1:10">
      <c r="A8" s="10" t="s">
        <v>385</v>
      </c>
      <c r="B8" s="11">
        <f>B5-B7</f>
        <v>22115248</v>
      </c>
      <c r="C8" s="2"/>
      <c r="D8" s="9" t="s">
        <v>334</v>
      </c>
      <c r="E8" s="8">
        <v>100000</v>
      </c>
      <c r="F8" s="2"/>
      <c r="G8" s="2"/>
      <c r="H8" s="2"/>
      <c r="I8" s="2"/>
      <c r="J8" s="2"/>
    </row>
    <row r="9" spans="1:10">
      <c r="B9" s="2"/>
      <c r="C9" s="2"/>
      <c r="D9" s="9" t="s">
        <v>343</v>
      </c>
      <c r="E9" s="8">
        <v>100000</v>
      </c>
      <c r="F9" s="2"/>
      <c r="G9" s="2"/>
      <c r="H9" s="2"/>
      <c r="I9" s="2"/>
      <c r="J9" s="2"/>
    </row>
    <row r="10" spans="1:10">
      <c r="A10" s="12" t="s">
        <v>386</v>
      </c>
      <c r="B10" s="13">
        <f>'SALDO AKHIR'!E103</f>
        <v>47280534</v>
      </c>
      <c r="C10" s="2"/>
      <c r="E10" s="2">
        <f>SUM(E3:E9)</f>
        <v>700000</v>
      </c>
      <c r="F10" s="2"/>
      <c r="G10" s="2"/>
      <c r="H10" s="2"/>
      <c r="I10" s="2"/>
      <c r="J10" s="2"/>
    </row>
    <row r="11" spans="1:10">
      <c r="A11" s="14"/>
      <c r="B11" s="14"/>
      <c r="C11" s="2"/>
      <c r="E11" s="2"/>
      <c r="F11" s="2"/>
      <c r="G11" s="2"/>
      <c r="H11" s="2"/>
      <c r="I11" s="2"/>
      <c r="J11" s="2"/>
    </row>
    <row r="12" spans="1:10">
      <c r="A12" s="1" t="s">
        <v>387</v>
      </c>
      <c r="B12" s="1"/>
      <c r="C12" s="2"/>
      <c r="E12" s="2"/>
      <c r="F12" s="2"/>
      <c r="G12" s="2"/>
      <c r="H12" s="2"/>
      <c r="I12" s="2"/>
      <c r="J12" s="2"/>
    </row>
    <row r="13" spans="1:10">
      <c r="A13" s="10" t="s">
        <v>388</v>
      </c>
      <c r="B13" s="15">
        <f>B10-B8-E10</f>
        <v>24465286</v>
      </c>
      <c r="C13" s="2"/>
      <c r="E13" s="2"/>
      <c r="F13" s="2"/>
      <c r="G13" s="2"/>
      <c r="H13" s="2"/>
      <c r="I13" s="2"/>
      <c r="J13" s="2"/>
    </row>
    <row r="14" spans="1:10">
      <c r="E14" s="2"/>
      <c r="F14" s="2"/>
      <c r="G14" s="2"/>
      <c r="H14" s="2"/>
      <c r="I14" s="2"/>
      <c r="J14" s="2"/>
    </row>
    <row r="15" spans="1:10">
      <c r="E15" s="2"/>
      <c r="F15" s="2"/>
      <c r="G15" s="2"/>
      <c r="H15" s="2"/>
      <c r="I15" s="2"/>
      <c r="J15" s="2"/>
    </row>
    <row r="16" spans="1:10">
      <c r="E16" s="2"/>
      <c r="F16" s="2"/>
      <c r="G16" s="2"/>
      <c r="H16" s="2"/>
      <c r="I16" s="2"/>
      <c r="J16" s="2"/>
    </row>
    <row r="17" spans="5:10">
      <c r="E17" s="2"/>
      <c r="F17" s="2"/>
      <c r="G17" s="2"/>
      <c r="H17" s="2"/>
      <c r="I17" s="2"/>
      <c r="J17" s="2"/>
    </row>
    <row r="18" spans="5:10">
      <c r="E18" s="2"/>
      <c r="F18" s="2"/>
      <c r="G18" s="2"/>
      <c r="H18" s="2"/>
      <c r="I18" s="2"/>
      <c r="J18" s="2"/>
    </row>
    <row r="19" spans="5:10">
      <c r="E19" s="2"/>
      <c r="F19" s="2"/>
      <c r="G19" s="2"/>
      <c r="H19" s="2"/>
      <c r="I19" s="2"/>
      <c r="J19" s="2"/>
    </row>
    <row r="20" spans="5:10">
      <c r="E20" s="2"/>
      <c r="F20" s="2"/>
      <c r="G20" s="2"/>
      <c r="H20" s="2"/>
      <c r="I20" s="2"/>
      <c r="J20" s="2"/>
    </row>
    <row r="21" spans="5:10">
      <c r="E21" s="2"/>
      <c r="F21" s="2"/>
      <c r="G21" s="2"/>
      <c r="H21" s="2"/>
      <c r="I21" s="2"/>
      <c r="J21" s="2"/>
    </row>
    <row r="22" spans="5:10">
      <c r="E22" s="2"/>
      <c r="F22" s="2"/>
      <c r="G22" s="2"/>
      <c r="H22" s="2"/>
      <c r="I22" s="2"/>
      <c r="J22" s="2"/>
    </row>
    <row r="23" spans="5:10">
      <c r="E23" s="2"/>
      <c r="F23" s="2"/>
      <c r="G23" s="2"/>
      <c r="H23" s="2"/>
      <c r="I23" s="2"/>
      <c r="J23" s="2"/>
    </row>
    <row r="24" spans="5:10">
      <c r="E24" s="2"/>
      <c r="F24" s="2"/>
      <c r="G24" s="2"/>
      <c r="H24" s="2"/>
      <c r="I24" s="2"/>
      <c r="J24" s="2"/>
    </row>
    <row r="25" spans="5:10">
      <c r="F25" s="2"/>
      <c r="G25" s="2"/>
      <c r="H25" s="2"/>
      <c r="I25" s="2"/>
      <c r="J25" s="2"/>
    </row>
  </sheetData>
  <mergeCells count="4">
    <mergeCell ref="A1:B1"/>
    <mergeCell ref="A2:B2"/>
    <mergeCell ref="D2:E2"/>
    <mergeCell ref="A12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</vt:lpstr>
      <vt:lpstr>PENGELUARAN</vt:lpstr>
      <vt:lpstr>SALDO AKHIR</vt:lpstr>
      <vt:lpstr>DP</vt:lpstr>
      <vt:lpstr>PNGELUARAN MURNI</vt:lpstr>
      <vt:lpstr>CATATAN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Arthasagara konveksi</cp:lastModifiedBy>
  <dcterms:created xsi:type="dcterms:W3CDTF">2026-08-19T03:41:00Z</dcterms:created>
  <dcterms:modified xsi:type="dcterms:W3CDTF">2026-08-26T07:18:19Z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4E5E0B5E437B4CE99B33D1EB7B58377C_11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